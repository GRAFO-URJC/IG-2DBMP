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ergiocavero/temp_bin/IG-2DBMP/paper/"/>
    </mc:Choice>
  </mc:AlternateContent>
  <xr:revisionPtr revIDLastSave="0" documentId="13_ncr:1_{D34DEE5C-4914-EB4F-A109-D4F6386384CA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Pivot Table" sheetId="1" r:id="rId1"/>
    <sheet name="Raw Results" sheetId="2" r:id="rId2"/>
    <sheet name="Comparativa" sheetId="4" r:id="rId3"/>
  </sheets>
  <calcPr calcId="191029"/>
  <pivotCaches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1" i="4" l="1"/>
  <c r="T48" i="4"/>
  <c r="S48" i="4"/>
  <c r="Q48" i="4"/>
  <c r="P48" i="4"/>
  <c r="M48" i="4"/>
  <c r="J48" i="4"/>
  <c r="G48" i="4"/>
  <c r="F47" i="4"/>
  <c r="R47" i="4" s="1"/>
  <c r="F46" i="4"/>
  <c r="K46" i="4" s="1"/>
  <c r="R45" i="4"/>
  <c r="F45" i="4"/>
  <c r="K45" i="4" s="1"/>
  <c r="N44" i="4"/>
  <c r="K44" i="4"/>
  <c r="F44" i="4"/>
  <c r="H44" i="4" s="1"/>
  <c r="F43" i="4"/>
  <c r="R43" i="4" s="1"/>
  <c r="F42" i="4"/>
  <c r="K42" i="4" s="1"/>
  <c r="F41" i="4"/>
  <c r="K41" i="4" s="1"/>
  <c r="F40" i="4"/>
  <c r="F39" i="4"/>
  <c r="K39" i="4" s="1"/>
  <c r="R38" i="4"/>
  <c r="K38" i="4"/>
  <c r="F38" i="4"/>
  <c r="U38" i="4" s="1"/>
  <c r="F37" i="4"/>
  <c r="N37" i="4" s="1"/>
  <c r="F36" i="4"/>
  <c r="H36" i="4" s="1"/>
  <c r="U35" i="4"/>
  <c r="N35" i="4"/>
  <c r="F35" i="4"/>
  <c r="K35" i="4" s="1"/>
  <c r="F34" i="4"/>
  <c r="F33" i="4"/>
  <c r="F32" i="4"/>
  <c r="K32" i="4" s="1"/>
  <c r="F31" i="4"/>
  <c r="U31" i="4" s="1"/>
  <c r="F30" i="4"/>
  <c r="N30" i="4" s="1"/>
  <c r="F29" i="4"/>
  <c r="H29" i="4" s="1"/>
  <c r="F28" i="4"/>
  <c r="F27" i="4"/>
  <c r="K27" i="4" s="1"/>
  <c r="F26" i="4"/>
  <c r="U26" i="4" s="1"/>
  <c r="F25" i="4"/>
  <c r="R25" i="4" s="1"/>
  <c r="F24" i="4"/>
  <c r="K24" i="4" s="1"/>
  <c r="R23" i="4"/>
  <c r="N23" i="4"/>
  <c r="F23" i="4"/>
  <c r="K23" i="4" s="1"/>
  <c r="R22" i="4"/>
  <c r="N22" i="4"/>
  <c r="F22" i="4"/>
  <c r="K22" i="4" s="1"/>
  <c r="F21" i="4"/>
  <c r="R21" i="4" s="1"/>
  <c r="F20" i="4"/>
  <c r="K20" i="4" s="1"/>
  <c r="U19" i="4"/>
  <c r="R19" i="4"/>
  <c r="F19" i="4"/>
  <c r="K19" i="4" s="1"/>
  <c r="F18" i="4"/>
  <c r="U18" i="4" s="1"/>
  <c r="F17" i="4"/>
  <c r="R17" i="4" s="1"/>
  <c r="F16" i="4"/>
  <c r="K16" i="4" s="1"/>
  <c r="F15" i="4"/>
  <c r="K15" i="4" s="1"/>
  <c r="U14" i="4"/>
  <c r="N14" i="4"/>
  <c r="F14" i="4"/>
  <c r="R14" i="4" s="1"/>
  <c r="F13" i="4"/>
  <c r="R13" i="4" s="1"/>
  <c r="F12" i="4"/>
  <c r="K12" i="4" s="1"/>
  <c r="R11" i="4"/>
  <c r="N11" i="4"/>
  <c r="H11" i="4"/>
  <c r="F11" i="4"/>
  <c r="K11" i="4" s="1"/>
  <c r="R10" i="4"/>
  <c r="N10" i="4"/>
  <c r="F10" i="4"/>
  <c r="H10" i="4" s="1"/>
  <c r="F9" i="4"/>
  <c r="R9" i="4" s="1"/>
  <c r="F8" i="4"/>
  <c r="K8" i="4" s="1"/>
  <c r="R7" i="4"/>
  <c r="F7" i="4"/>
  <c r="K7" i="4" s="1"/>
  <c r="F6" i="4"/>
  <c r="U6" i="4" s="1"/>
  <c r="F5" i="4"/>
  <c r="R5" i="4" s="1"/>
  <c r="F4" i="4"/>
  <c r="K4" i="4" s="1"/>
  <c r="F3" i="4"/>
  <c r="K3" i="4" s="1"/>
  <c r="R41" i="4" l="1"/>
  <c r="R44" i="4"/>
  <c r="U11" i="4"/>
  <c r="R32" i="4"/>
  <c r="U41" i="4"/>
  <c r="U44" i="4"/>
  <c r="K10" i="4"/>
  <c r="U32" i="4"/>
  <c r="H7" i="4"/>
  <c r="N7" i="4"/>
  <c r="K14" i="4"/>
  <c r="N19" i="4"/>
  <c r="H15" i="4"/>
  <c r="U22" i="4"/>
  <c r="N27" i="4"/>
  <c r="R39" i="4"/>
  <c r="H3" i="4"/>
  <c r="K6" i="4"/>
  <c r="U7" i="4"/>
  <c r="U10" i="4"/>
  <c r="N15" i="4"/>
  <c r="N18" i="4"/>
  <c r="H26" i="4"/>
  <c r="R27" i="4"/>
  <c r="K31" i="4"/>
  <c r="U39" i="4"/>
  <c r="H45" i="4"/>
  <c r="H18" i="4"/>
  <c r="H27" i="4"/>
  <c r="U36" i="4"/>
  <c r="N39" i="4"/>
  <c r="H6" i="4"/>
  <c r="K18" i="4"/>
  <c r="H31" i="4"/>
  <c r="N3" i="4"/>
  <c r="N6" i="4"/>
  <c r="H14" i="4"/>
  <c r="R15" i="4"/>
  <c r="R18" i="4"/>
  <c r="H23" i="4"/>
  <c r="K26" i="4"/>
  <c r="U27" i="4"/>
  <c r="N31" i="4"/>
  <c r="H38" i="4"/>
  <c r="N45" i="4"/>
  <c r="R3" i="4"/>
  <c r="R6" i="4"/>
  <c r="U15" i="4"/>
  <c r="N26" i="4"/>
  <c r="U3" i="4"/>
  <c r="H22" i="4"/>
  <c r="R26" i="4"/>
  <c r="R35" i="4"/>
  <c r="N38" i="4"/>
  <c r="H41" i="4"/>
  <c r="U45" i="4"/>
  <c r="R31" i="4"/>
  <c r="H19" i="4"/>
  <c r="U23" i="4"/>
  <c r="U29" i="4"/>
  <c r="N32" i="4"/>
  <c r="N41" i="4"/>
  <c r="H13" i="4"/>
  <c r="H47" i="4"/>
  <c r="K9" i="4"/>
  <c r="K13" i="4"/>
  <c r="K25" i="4"/>
  <c r="H30" i="4"/>
  <c r="N5" i="4"/>
  <c r="U5" i="4"/>
  <c r="N8" i="4"/>
  <c r="U9" i="4"/>
  <c r="N12" i="4"/>
  <c r="U13" i="4"/>
  <c r="U17" i="4"/>
  <c r="N20" i="4"/>
  <c r="U21" i="4"/>
  <c r="N24" i="4"/>
  <c r="U25" i="4"/>
  <c r="K29" i="4"/>
  <c r="R30" i="4"/>
  <c r="U43" i="4"/>
  <c r="U47" i="4"/>
  <c r="R4" i="4"/>
  <c r="R8" i="4"/>
  <c r="R12" i="4"/>
  <c r="R16" i="4"/>
  <c r="R20" i="4"/>
  <c r="R24" i="4"/>
  <c r="N29" i="4"/>
  <c r="U30" i="4"/>
  <c r="H32" i="4"/>
  <c r="H35" i="4"/>
  <c r="N36" i="4"/>
  <c r="U37" i="4"/>
  <c r="H39" i="4"/>
  <c r="R42" i="4"/>
  <c r="R46" i="4"/>
  <c r="H5" i="4"/>
  <c r="H9" i="4"/>
  <c r="H43" i="4"/>
  <c r="K5" i="4"/>
  <c r="K17" i="4"/>
  <c r="N9" i="4"/>
  <c r="N4" i="4"/>
  <c r="N16" i="4"/>
  <c r="K36" i="4"/>
  <c r="R37" i="4"/>
  <c r="N42" i="4"/>
  <c r="N46" i="4"/>
  <c r="U4" i="4"/>
  <c r="U8" i="4"/>
  <c r="U12" i="4"/>
  <c r="U16" i="4"/>
  <c r="U20" i="4"/>
  <c r="U24" i="4"/>
  <c r="R29" i="4"/>
  <c r="R36" i="4"/>
  <c r="U42" i="4"/>
  <c r="U46" i="4"/>
  <c r="H17" i="4"/>
  <c r="H21" i="4"/>
  <c r="H25" i="4"/>
  <c r="K21" i="4"/>
  <c r="H37" i="4"/>
  <c r="K43" i="4"/>
  <c r="K47" i="4"/>
  <c r="H4" i="4"/>
  <c r="H8" i="4"/>
  <c r="H12" i="4"/>
  <c r="N13" i="4"/>
  <c r="H16" i="4"/>
  <c r="N17" i="4"/>
  <c r="H20" i="4"/>
  <c r="N21" i="4"/>
  <c r="H24" i="4"/>
  <c r="N25" i="4"/>
  <c r="K30" i="4"/>
  <c r="K37" i="4"/>
  <c r="H42" i="4"/>
  <c r="N43" i="4"/>
  <c r="H46" i="4"/>
  <c r="N47" i="4"/>
  <c r="R48" i="4" l="1"/>
  <c r="K49" i="4"/>
  <c r="N49" i="4"/>
  <c r="U49" i="4"/>
  <c r="U48" i="4"/>
  <c r="N48" i="4"/>
  <c r="R49" i="4"/>
  <c r="I46" i="2" a="1"/>
  <c r="I46" i="2" s="1"/>
  <c r="I45" i="2" a="1"/>
  <c r="I45" i="2" s="1"/>
  <c r="I44" i="2" a="1"/>
  <c r="I44" i="2" s="1"/>
  <c r="I43" i="2" a="1"/>
  <c r="I43" i="2" s="1"/>
  <c r="I42" i="2" a="1"/>
  <c r="I42" i="2" s="1"/>
  <c r="I41" i="2" a="1"/>
  <c r="I41" i="2" s="1"/>
  <c r="I40" i="2" a="1"/>
  <c r="I40" i="2" s="1"/>
  <c r="I39" i="2" a="1"/>
  <c r="I39" i="2" s="1"/>
  <c r="I38" i="2" a="1"/>
  <c r="I38" i="2" s="1"/>
  <c r="I37" i="2" a="1"/>
  <c r="I37" i="2" s="1"/>
  <c r="I36" i="2" a="1"/>
  <c r="I36" i="2" s="1"/>
  <c r="I35" i="2" a="1"/>
  <c r="I35" i="2" s="1"/>
  <c r="I34" i="2" a="1"/>
  <c r="I34" i="2" s="1"/>
  <c r="I33" i="2" a="1"/>
  <c r="I33" i="2" s="1"/>
  <c r="I32" i="2" a="1"/>
  <c r="I32" i="2" s="1"/>
  <c r="I31" i="2" a="1"/>
  <c r="I31" i="2" s="1"/>
  <c r="I30" i="2" a="1"/>
  <c r="I30" i="2" s="1"/>
  <c r="I29" i="2" a="1"/>
  <c r="I29" i="2" s="1"/>
  <c r="I28" i="2" a="1"/>
  <c r="I28" i="2" s="1"/>
  <c r="I27" i="2" a="1"/>
  <c r="I27" i="2" s="1"/>
  <c r="I26" i="2" a="1"/>
  <c r="I26" i="2" s="1"/>
  <c r="I25" i="2" a="1"/>
  <c r="I25" i="2" s="1"/>
  <c r="I24" i="2" a="1"/>
  <c r="I24" i="2" s="1"/>
  <c r="I23" i="2" a="1"/>
  <c r="I23" i="2" s="1"/>
  <c r="I22" i="2" a="1"/>
  <c r="I22" i="2" s="1"/>
  <c r="I21" i="2" a="1"/>
  <c r="I21" i="2" s="1"/>
  <c r="I20" i="2" a="1"/>
  <c r="I20" i="2" s="1"/>
  <c r="I19" i="2" a="1"/>
  <c r="I19" i="2" s="1"/>
  <c r="I18" i="2" a="1"/>
  <c r="I18" i="2" s="1"/>
  <c r="I17" i="2" a="1"/>
  <c r="I17" i="2" s="1"/>
  <c r="I16" i="2" a="1"/>
  <c r="I16" i="2" s="1"/>
  <c r="I15" i="2" a="1"/>
  <c r="I15" i="2" s="1"/>
  <c r="I14" i="2" a="1"/>
  <c r="I14" i="2" s="1"/>
  <c r="I13" i="2" a="1"/>
  <c r="I13" i="2" s="1"/>
  <c r="I12" i="2" a="1"/>
  <c r="I12" i="2" s="1"/>
  <c r="I11" i="2" a="1"/>
  <c r="I11" i="2" s="1"/>
  <c r="I10" i="2" a="1"/>
  <c r="I10" i="2" s="1"/>
  <c r="I9" i="2" a="1"/>
  <c r="I9" i="2" s="1"/>
  <c r="I8" i="2" a="1"/>
  <c r="I8" i="2" s="1"/>
  <c r="I7" i="2" a="1"/>
  <c r="I7" i="2" s="1"/>
  <c r="I6" i="2" a="1"/>
  <c r="I6" i="2" s="1"/>
  <c r="I5" i="2" a="1"/>
  <c r="I5" i="2" s="1"/>
  <c r="I4" i="2" a="1"/>
  <c r="I4" i="2" s="1"/>
  <c r="I3" i="2" a="1"/>
  <c r="I3" i="2" s="1"/>
  <c r="I2" i="2" a="1"/>
  <c r="I2" i="2" s="1"/>
  <c r="H23" i="2" l="1"/>
  <c r="G23" i="2"/>
  <c r="H8" i="2"/>
  <c r="G8" i="2"/>
  <c r="H9" i="2"/>
  <c r="G9" i="2"/>
  <c r="H17" i="2"/>
  <c r="G17" i="2"/>
  <c r="H25" i="2"/>
  <c r="G25" i="2"/>
  <c r="H33" i="2"/>
  <c r="G33" i="2"/>
  <c r="H41" i="2"/>
  <c r="G41" i="2"/>
  <c r="H2" i="2"/>
  <c r="G2" i="2"/>
  <c r="H10" i="2"/>
  <c r="G10" i="2"/>
  <c r="H18" i="2"/>
  <c r="G18" i="2"/>
  <c r="H26" i="2"/>
  <c r="G26" i="2"/>
  <c r="H34" i="2"/>
  <c r="G34" i="2"/>
  <c r="H42" i="2"/>
  <c r="G42" i="2"/>
  <c r="H7" i="2"/>
  <c r="G7" i="2"/>
  <c r="H39" i="2"/>
  <c r="G39" i="2"/>
  <c r="H40" i="2"/>
  <c r="G40" i="2"/>
  <c r="H3" i="2"/>
  <c r="G3" i="2"/>
  <c r="H11" i="2"/>
  <c r="G11" i="2"/>
  <c r="H19" i="2"/>
  <c r="G19" i="2"/>
  <c r="H27" i="2"/>
  <c r="G27" i="2"/>
  <c r="H35" i="2"/>
  <c r="G35" i="2"/>
  <c r="H43" i="2"/>
  <c r="G43" i="2"/>
  <c r="H31" i="2"/>
  <c r="G31" i="2"/>
  <c r="H16" i="2"/>
  <c r="G16" i="2"/>
  <c r="H32" i="2"/>
  <c r="G32" i="2"/>
  <c r="H4" i="2"/>
  <c r="G4" i="2"/>
  <c r="H20" i="2"/>
  <c r="G20" i="2"/>
  <c r="H44" i="2"/>
  <c r="G44" i="2"/>
  <c r="H5" i="2"/>
  <c r="G5" i="2"/>
  <c r="H13" i="2"/>
  <c r="G13" i="2"/>
  <c r="H21" i="2"/>
  <c r="G21" i="2"/>
  <c r="H29" i="2"/>
  <c r="G29" i="2"/>
  <c r="H37" i="2"/>
  <c r="G37" i="2"/>
  <c r="H45" i="2"/>
  <c r="G45" i="2"/>
  <c r="H15" i="2"/>
  <c r="G15" i="2"/>
  <c r="H24" i="2"/>
  <c r="G24" i="2"/>
  <c r="H12" i="2"/>
  <c r="G12" i="2"/>
  <c r="H28" i="2"/>
  <c r="G28" i="2"/>
  <c r="H36" i="2"/>
  <c r="G36" i="2"/>
  <c r="H6" i="2"/>
  <c r="G6" i="2"/>
  <c r="H14" i="2"/>
  <c r="G14" i="2"/>
  <c r="H22" i="2"/>
  <c r="G22" i="2"/>
  <c r="H30" i="2"/>
  <c r="G30" i="2"/>
  <c r="H38" i="2"/>
  <c r="G38" i="2"/>
  <c r="H46" i="2"/>
  <c r="G46" i="2"/>
</calcChain>
</file>

<file path=xl/sharedStrings.xml><?xml version="1.0" encoding="utf-8"?>
<sst xmlns="http://schemas.openxmlformats.org/spreadsheetml/2006/main" count="234" uniqueCount="128">
  <si>
    <t>Instance Name</t>
  </si>
  <si>
    <t>Algorithm Name</t>
  </si>
  <si>
    <t>Iteration</t>
  </si>
  <si>
    <t>Score</t>
  </si>
  <si>
    <t>Total Time (s)</t>
  </si>
  <si>
    <t>Time to Best (s)</t>
  </si>
  <si>
    <t>Is Best Known?</t>
  </si>
  <si>
    <t>% Dev. to best known</t>
  </si>
  <si>
    <t>Best value known</t>
  </si>
  <si>
    <t>bipartite10x10.mtx</t>
  </si>
  <si>
    <t>IG{McAl-C{It=1500pOV=1.0w1s=[1.0]}-RandomDestruction-GreedyFORec-[LSFirst{neig=[EfSwpIntArNg], comp=TDBMPEfficientMoveComparator}]-300-225-true}</t>
  </si>
  <si>
    <t>bipartite3x3.mtx</t>
  </si>
  <si>
    <t>bipartite3x4.mtx</t>
  </si>
  <si>
    <t>bipartite4x4.mtx</t>
  </si>
  <si>
    <t>bipartite5x5.mtx</t>
  </si>
  <si>
    <t>bipartite7x8.mtx</t>
  </si>
  <si>
    <t>c3xc3.mtx</t>
  </si>
  <si>
    <t>c3xc4.mtx</t>
  </si>
  <si>
    <t>c3xk4.mtx</t>
  </si>
  <si>
    <t>c4xc5.mtx</t>
  </si>
  <si>
    <t>c4xk5.mtx</t>
  </si>
  <si>
    <t>cycle10.mtx</t>
  </si>
  <si>
    <t>cycle15.mtx</t>
  </si>
  <si>
    <t>cycle20.mtx</t>
  </si>
  <si>
    <t>cyclePow10-10.mtx</t>
  </si>
  <si>
    <t>cyclePow10-2.mtx</t>
  </si>
  <si>
    <t>cyclePow15-10.mtx</t>
  </si>
  <si>
    <t>cyclePow15-2.mtx</t>
  </si>
  <si>
    <t>cyclePow20-10.mtx</t>
  </si>
  <si>
    <t>cyclePow20-2.mtx</t>
  </si>
  <si>
    <t>k10.mtx</t>
  </si>
  <si>
    <t>k3xk4.mtx</t>
  </si>
  <si>
    <t>k4xk5.mtx</t>
  </si>
  <si>
    <t>k5.mtx</t>
  </si>
  <si>
    <t>p2xc3.mtx</t>
  </si>
  <si>
    <t>p2xp3.mtx</t>
  </si>
  <si>
    <t>p3xc3.mtx</t>
  </si>
  <si>
    <t>p3xk4.mtx</t>
  </si>
  <si>
    <t>p3xp3.mtx</t>
  </si>
  <si>
    <t>p4xc5.mtx</t>
  </si>
  <si>
    <t>p4xk5.mtx</t>
  </si>
  <si>
    <t>p4xp5.mtx</t>
  </si>
  <si>
    <t>path10.mtx</t>
  </si>
  <si>
    <t>path15.mtx</t>
  </si>
  <si>
    <t>path20.mtx</t>
  </si>
  <si>
    <t>petersen.mtx</t>
  </si>
  <si>
    <t>tree2x2.mtx</t>
  </si>
  <si>
    <t>tree2x3.mtx</t>
  </si>
  <si>
    <t>tree2x4.mtx</t>
  </si>
  <si>
    <t>tree3x2.mtx</t>
  </si>
  <si>
    <t>wheel10.mtx</t>
  </si>
  <si>
    <t>wheel15.mtx</t>
  </si>
  <si>
    <t>wheel20.mtx</t>
  </si>
  <si>
    <t>wheel5.mtx</t>
  </si>
  <si>
    <t>wheel7.mtx</t>
  </si>
  <si>
    <t>Min. score</t>
  </si>
  <si>
    <t>Sum Total T(s)</t>
  </si>
  <si>
    <t>hasBest</t>
  </si>
  <si>
    <t>Min. %Dev2Best</t>
  </si>
  <si>
    <t>M1</t>
  </si>
  <si>
    <t>M2</t>
  </si>
  <si>
    <t>M3</t>
  </si>
  <si>
    <t>bvns</t>
  </si>
  <si>
    <t>IG</t>
  </si>
  <si>
    <t>graph</t>
  </si>
  <si>
    <t>nº vertices</t>
  </si>
  <si>
    <t>nº edges</t>
  </si>
  <si>
    <t>lb</t>
  </si>
  <si>
    <t>ub</t>
  </si>
  <si>
    <t>OPT</t>
  </si>
  <si>
    <t>Opt</t>
  </si>
  <si>
    <t>T</t>
  </si>
  <si>
    <t>dev</t>
  </si>
  <si>
    <t>p2p3</t>
  </si>
  <si>
    <t>p3p3</t>
  </si>
  <si>
    <t>p4p5</t>
  </si>
  <si>
    <t>p2c3</t>
  </si>
  <si>
    <t>p3c3</t>
  </si>
  <si>
    <t>p4c5</t>
  </si>
  <si>
    <t>c3c3</t>
  </si>
  <si>
    <t>c3c4</t>
  </si>
  <si>
    <t>c4c5</t>
  </si>
  <si>
    <t>k3k4</t>
  </si>
  <si>
    <t>k4k5</t>
  </si>
  <si>
    <t>–</t>
  </si>
  <si>
    <t>c3k4</t>
  </si>
  <si>
    <t>c4k5</t>
  </si>
  <si>
    <t>p3k4</t>
  </si>
  <si>
    <t>p4k5</t>
  </si>
  <si>
    <t>path10</t>
  </si>
  <si>
    <t>path15</t>
  </si>
  <si>
    <t>path20</t>
  </si>
  <si>
    <t>cycle10</t>
  </si>
  <si>
    <t>cycle15</t>
  </si>
  <si>
    <t>cycle20</t>
  </si>
  <si>
    <t>wheel5</t>
  </si>
  <si>
    <t>wheel7</t>
  </si>
  <si>
    <t>wheel10</t>
  </si>
  <si>
    <t>wheel15</t>
  </si>
  <si>
    <t>wheel20</t>
  </si>
  <si>
    <t>cyclePow10-2</t>
  </si>
  <si>
    <t>cyclePow15-2</t>
  </si>
  <si>
    <t>cyclePow20-2</t>
  </si>
  <si>
    <t>cyclePow10-10</t>
  </si>
  <si>
    <t>cyclePow15-10</t>
  </si>
  <si>
    <t>cyclePow20-10</t>
  </si>
  <si>
    <t>bipartite3-3</t>
  </si>
  <si>
    <t>bipartite3-4</t>
  </si>
  <si>
    <t>bipartite4-4</t>
  </si>
  <si>
    <t>bipartite5-5</t>
  </si>
  <si>
    <t>bipartite7-8</t>
  </si>
  <si>
    <t>bipartite10-10</t>
  </si>
  <si>
    <t>petersen</t>
  </si>
  <si>
    <t>complete5</t>
  </si>
  <si>
    <t>complete10</t>
  </si>
  <si>
    <t>tree2-2</t>
  </si>
  <si>
    <t>tree2-3</t>
  </si>
  <si>
    <t>tree3-2</t>
  </si>
  <si>
    <t>tree2-4</t>
  </si>
  <si>
    <t>Average</t>
  </si>
  <si>
    <t>BVNS</t>
  </si>
  <si>
    <t>Avg. OF</t>
  </si>
  <si>
    <t>CPU Time (s)</t>
  </si>
  <si>
    <t>Dev. (%)</t>
  </si>
  <si>
    <t>#Best</t>
  </si>
  <si>
    <t>Column Labels</t>
  </si>
  <si>
    <t>(blank)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</si>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</sst>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0" xfId="0" applyFont="1" applyFill="1"/>
    <xf numFmtId="0" fontId="1" fillId="2" borderId="8" xfId="0" applyFont="1" applyFill="1" applyBorder="1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8" xfId="0" applyFill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10" fontId="0" fillId="2" borderId="0" xfId="0" applyNumberFormat="1" applyFill="1"/>
    <xf numFmtId="2" fontId="0" fillId="0" borderId="0" xfId="0" applyNumberForma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ergio Cavero" refreshedDate="46024.679102199072" createdVersion="3" refreshedVersion="8" minRefreshableVersion="3" recordCount="46" xr:uid="{00000000-000A-0000-FFFF-FFFF02000000}">
  <cacheSource type="worksheet">
    <worksheetSource ref="A1:I65536" sheet="Raw Results"/>
  </cacheSource>
  <cacheFields count="9">
    <cacheField name="Instance Name" numFmtId="0">
      <sharedItems containsBlank="1" count="46">
        <s v="bipartite10x10.mtx"/>
        <s v="bipartite3x3.mtx"/>
        <s v="bipartite3x4.mtx"/>
        <s v="bipartite4x4.mtx"/>
        <s v="bipartite5x5.mtx"/>
        <s v="bipartite7x8.mtx"/>
        <s v="c3xc3.mtx"/>
        <s v="c3xc4.mtx"/>
        <s v="c3xk4.mtx"/>
        <s v="c4xc5.mtx"/>
        <s v="c4xk5.mtx"/>
        <s v="cycle10.mtx"/>
        <s v="cycle15.mtx"/>
        <s v="cycle20.mtx"/>
        <s v="cyclePow10-10.mtx"/>
        <s v="cyclePow10-2.mtx"/>
        <s v="cyclePow15-10.mtx"/>
        <s v="cyclePow15-2.mtx"/>
        <s v="cyclePow20-10.mtx"/>
        <s v="cyclePow20-2.mtx"/>
        <s v="k10.mtx"/>
        <s v="k3xk4.mtx"/>
        <s v="k4xk5.mtx"/>
        <s v="k5.mtx"/>
        <s v="p2xc3.mtx"/>
        <s v="p2xp3.mtx"/>
        <s v="p3xc3.mtx"/>
        <s v="p3xk4.mtx"/>
        <s v="p3xp3.mtx"/>
        <s v="p4xc5.mtx"/>
        <s v="p4xk5.mtx"/>
        <s v="p4xp5.mtx"/>
        <s v="path10.mtx"/>
        <s v="path15.mtx"/>
        <s v="path20.mtx"/>
        <s v="petersen.mtx"/>
        <s v="tree2x2.mtx"/>
        <s v="tree2x3.mtx"/>
        <s v="tree2x4.mtx"/>
        <s v="tree3x2.mtx"/>
        <s v="wheel10.mtx"/>
        <s v="wheel15.mtx"/>
        <s v="wheel20.mtx"/>
        <s v="wheel5.mtx"/>
        <s v="wheel7.mtx"/>
        <m/>
      </sharedItems>
    </cacheField>
    <cacheField name="Algorithm Name" numFmtId="0">
      <sharedItems containsBlank="1" count="2">
        <s v="IG{McAl-C{It=1500pOV=1.0w1s=[1.0]}-RandomDestruction-GreedyFORec-[LSFirst{neig=[EfSwpIntArNg], comp=TDBMPEfficientMoveComparator}]-300-225-true}"/>
        <m/>
      </sharedItems>
    </cacheField>
    <cacheField name="Iteration" numFmtId="0">
      <sharedItems containsString="0" containsBlank="1" containsNumber="1" containsInteger="1" minValue="0" maxValue="0"/>
    </cacheField>
    <cacheField name="Score" numFmtId="0">
      <sharedItems containsString="0" containsBlank="1" containsNumber="1" containsInteger="1" minValue="1" maxValue="6"/>
    </cacheField>
    <cacheField name="Total Time (s)" numFmtId="0">
      <sharedItems containsString="0" containsBlank="1" containsNumber="1" minValue="4.5572260000000002E-3" maxValue="0.20960905899999999"/>
    </cacheField>
    <cacheField name="Time to Best (s)" numFmtId="0">
      <sharedItems containsString="0" containsBlank="1" containsNumber="1" minValue="1.8264E-5" maxValue="2.844402E-2"/>
    </cacheField>
    <cacheField name="Is Best Known?" numFmtId="0">
      <sharedItems containsString="0" containsBlank="1" containsNumber="1" containsInteger="1" minValue="1" maxValue="1"/>
    </cacheField>
    <cacheField name="% Dev. to best known" numFmtId="0">
      <sharedItems containsString="0" containsBlank="1" containsNumber="1" containsInteger="1" minValue="0" maxValue="0"/>
    </cacheField>
    <cacheField name="Best value known" numFmtId="0">
      <sharedItems containsString="0" containsBlank="1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n v="0"/>
    <n v="5"/>
    <n v="0.20960905899999999"/>
    <n v="2.844402E-2"/>
    <n v="1"/>
    <n v="0"/>
    <n v="5"/>
  </r>
  <r>
    <x v="1"/>
    <x v="0"/>
    <n v="0"/>
    <n v="2"/>
    <n v="1.4192444E-2"/>
    <n v="2.3206499999999999E-4"/>
    <n v="1"/>
    <n v="0"/>
    <n v="2"/>
  </r>
  <r>
    <x v="2"/>
    <x v="0"/>
    <n v="0"/>
    <n v="3"/>
    <n v="2.0994009000000001E-2"/>
    <n v="5.3109000000000003E-5"/>
    <n v="1"/>
    <n v="0"/>
    <n v="3"/>
  </r>
  <r>
    <x v="3"/>
    <x v="0"/>
    <n v="0"/>
    <n v="3"/>
    <n v="1.6218584000000001E-2"/>
    <n v="6.1395000000000004E-5"/>
    <n v="1"/>
    <n v="0"/>
    <n v="3"/>
  </r>
  <r>
    <x v="4"/>
    <x v="0"/>
    <n v="0"/>
    <n v="3"/>
    <n v="2.3394148999999999E-2"/>
    <n v="1.0641000000000001E-4"/>
    <n v="1"/>
    <n v="0"/>
    <n v="3"/>
  </r>
  <r>
    <x v="5"/>
    <x v="0"/>
    <n v="0"/>
    <n v="4"/>
    <n v="4.4042919999999999E-2"/>
    <n v="6.6503999999999999E-5"/>
    <n v="1"/>
    <n v="0"/>
    <n v="4"/>
  </r>
  <r>
    <x v="6"/>
    <x v="0"/>
    <n v="0"/>
    <n v="2"/>
    <n v="2.4190894000000001E-2"/>
    <n v="9.8294000000000005E-5"/>
    <n v="1"/>
    <n v="0"/>
    <n v="2"/>
  </r>
  <r>
    <x v="7"/>
    <x v="0"/>
    <n v="0"/>
    <n v="2"/>
    <n v="2.7261191000000001E-2"/>
    <n v="3.4277199999999998E-4"/>
    <n v="1"/>
    <n v="0"/>
    <n v="2"/>
  </r>
  <r>
    <x v="8"/>
    <x v="0"/>
    <n v="0"/>
    <n v="3"/>
    <n v="2.5079842000000001E-2"/>
    <n v="7.4530999999999995E-5"/>
    <n v="1"/>
    <n v="0"/>
    <n v="3"/>
  </r>
  <r>
    <x v="9"/>
    <x v="0"/>
    <n v="0"/>
    <n v="2"/>
    <n v="3.7918647E-2"/>
    <n v="1.2635985000000001E-2"/>
    <n v="1"/>
    <n v="0"/>
    <n v="2"/>
  </r>
  <r>
    <x v="10"/>
    <x v="0"/>
    <n v="0"/>
    <n v="3"/>
    <n v="5.3397373999999997E-2"/>
    <n v="8.5349150000000006E-3"/>
    <n v="1"/>
    <n v="0"/>
    <n v="3"/>
  </r>
  <r>
    <x v="11"/>
    <x v="0"/>
    <n v="0"/>
    <n v="1"/>
    <n v="1.0242797E-2"/>
    <n v="4.0395999999999997E-5"/>
    <n v="1"/>
    <n v="0"/>
    <n v="1"/>
  </r>
  <r>
    <x v="12"/>
    <x v="0"/>
    <n v="0"/>
    <n v="2"/>
    <n v="1.6371190000000001E-2"/>
    <n v="3.1429E-5"/>
    <n v="1"/>
    <n v="0"/>
    <n v="2"/>
  </r>
  <r>
    <x v="13"/>
    <x v="0"/>
    <n v="0"/>
    <n v="1"/>
    <n v="2.5677643E-2"/>
    <n v="8.9128000000000005E-5"/>
    <n v="1"/>
    <n v="0"/>
    <n v="1"/>
  </r>
  <r>
    <x v="14"/>
    <x v="0"/>
    <n v="0"/>
    <n v="4"/>
    <n v="1.9659095000000001E-2"/>
    <n v="3.7400000000000001E-5"/>
    <n v="1"/>
    <n v="0"/>
    <n v="4"/>
  </r>
  <r>
    <x v="15"/>
    <x v="0"/>
    <n v="0"/>
    <n v="2"/>
    <n v="1.7127508E-2"/>
    <n v="1.47677E-4"/>
    <n v="1"/>
    <n v="0"/>
    <n v="2"/>
  </r>
  <r>
    <x v="16"/>
    <x v="0"/>
    <n v="0"/>
    <n v="6"/>
    <n v="4.4279013999999998E-2"/>
    <n v="7.6944000000000001E-5"/>
    <n v="1"/>
    <n v="0"/>
    <n v="6"/>
  </r>
  <r>
    <x v="17"/>
    <x v="0"/>
    <n v="0"/>
    <n v="2"/>
    <n v="2.1806112999999998E-2"/>
    <n v="1.1568700000000001E-4"/>
    <n v="1"/>
    <n v="0"/>
    <n v="2"/>
  </r>
  <r>
    <x v="18"/>
    <x v="0"/>
    <n v="0"/>
    <n v="6"/>
    <n v="7.9812408000000001E-2"/>
    <n v="9.0289000000000002E-5"/>
    <n v="1"/>
    <n v="0"/>
    <n v="6"/>
  </r>
  <r>
    <x v="19"/>
    <x v="0"/>
    <n v="0"/>
    <n v="2"/>
    <n v="3.7355881000000001E-2"/>
    <n v="2.8741900000000002E-4"/>
    <n v="1"/>
    <n v="0"/>
    <n v="2"/>
  </r>
  <r>
    <x v="20"/>
    <x v="0"/>
    <n v="0"/>
    <n v="4"/>
    <n v="1.9428032000000001E-2"/>
    <n v="3.0017000000000001E-5"/>
    <n v="1"/>
    <n v="0"/>
    <n v="4"/>
  </r>
  <r>
    <x v="21"/>
    <x v="0"/>
    <n v="0"/>
    <n v="3"/>
    <n v="1.8780178000000002E-2"/>
    <n v="4.3742000000000002E-5"/>
    <n v="1"/>
    <n v="0"/>
    <n v="3"/>
  </r>
  <r>
    <x v="22"/>
    <x v="0"/>
    <n v="0"/>
    <n v="4"/>
    <n v="5.4489331000000002E-2"/>
    <n v="2.2994619999999999E-3"/>
    <n v="1"/>
    <n v="0"/>
    <n v="4"/>
  </r>
  <r>
    <x v="23"/>
    <x v="0"/>
    <n v="0"/>
    <n v="2"/>
    <n v="5.4593970000000004E-3"/>
    <n v="5.2986159999999999E-3"/>
    <n v="1"/>
    <n v="0"/>
    <n v="2"/>
  </r>
  <r>
    <x v="24"/>
    <x v="0"/>
    <n v="0"/>
    <n v="2"/>
    <n v="5.8794859999999997E-3"/>
    <n v="1.8264E-5"/>
    <n v="1"/>
    <n v="0"/>
    <n v="2"/>
  </r>
  <r>
    <x v="25"/>
    <x v="0"/>
    <n v="0"/>
    <n v="1"/>
    <n v="5.4241610000000003E-3"/>
    <n v="2.1169999999999999E-5"/>
    <n v="1"/>
    <n v="0"/>
    <n v="1"/>
  </r>
  <r>
    <x v="26"/>
    <x v="0"/>
    <n v="0"/>
    <n v="2"/>
    <n v="1.2838887E-2"/>
    <n v="1.9485999999999999E-5"/>
    <n v="1"/>
    <n v="0"/>
    <n v="2"/>
  </r>
  <r>
    <x v="27"/>
    <x v="0"/>
    <n v="0"/>
    <n v="2"/>
    <n v="1.6371650000000001E-2"/>
    <n v="2.9049969999999999E-3"/>
    <n v="1"/>
    <n v="0"/>
    <n v="2"/>
  </r>
  <r>
    <x v="28"/>
    <x v="0"/>
    <n v="0"/>
    <n v="1"/>
    <n v="8.2771909999999997E-3"/>
    <n v="2.8532999999999999E-5"/>
    <n v="1"/>
    <n v="0"/>
    <n v="1"/>
  </r>
  <r>
    <x v="29"/>
    <x v="0"/>
    <n v="0"/>
    <n v="2"/>
    <n v="3.1458622999999998E-2"/>
    <n v="2.881172E-3"/>
    <n v="1"/>
    <n v="0"/>
    <n v="2"/>
  </r>
  <r>
    <x v="30"/>
    <x v="0"/>
    <n v="0"/>
    <n v="3"/>
    <n v="4.0989365E-2"/>
    <n v="3.7984299999999999E-4"/>
    <n v="1"/>
    <n v="0"/>
    <n v="3"/>
  </r>
  <r>
    <x v="31"/>
    <x v="0"/>
    <n v="0"/>
    <n v="1"/>
    <n v="3.3727578000000001E-2"/>
    <n v="9.6721399999999999E-4"/>
    <n v="1"/>
    <n v="0"/>
    <n v="1"/>
  </r>
  <r>
    <x v="32"/>
    <x v="0"/>
    <n v="0"/>
    <n v="1"/>
    <n v="9.7831250000000002E-3"/>
    <n v="2.4324999999999998E-5"/>
    <n v="1"/>
    <n v="0"/>
    <n v="1"/>
  </r>
  <r>
    <x v="33"/>
    <x v="0"/>
    <n v="0"/>
    <n v="1"/>
    <n v="1.5775022999999999E-2"/>
    <n v="4.0126000000000002E-5"/>
    <n v="1"/>
    <n v="0"/>
    <n v="1"/>
  </r>
  <r>
    <x v="34"/>
    <x v="0"/>
    <n v="0"/>
    <n v="1"/>
    <n v="2.4819352999999999E-2"/>
    <n v="5.0605000000000001E-5"/>
    <n v="1"/>
    <n v="0"/>
    <n v="1"/>
  </r>
  <r>
    <x v="35"/>
    <x v="0"/>
    <n v="0"/>
    <n v="2"/>
    <n v="1.2028046000000001E-2"/>
    <n v="9.1201100000000001E-4"/>
    <n v="1"/>
    <n v="0"/>
    <n v="2"/>
  </r>
  <r>
    <x v="36"/>
    <x v="0"/>
    <n v="0"/>
    <n v="1"/>
    <n v="6.2003279999999997E-3"/>
    <n v="1.13713E-4"/>
    <n v="1"/>
    <n v="0"/>
    <n v="1"/>
  </r>
  <r>
    <x v="37"/>
    <x v="0"/>
    <n v="0"/>
    <n v="2"/>
    <n v="1.4043363999999999E-2"/>
    <n v="3.3692999999999997E-5"/>
    <n v="1"/>
    <n v="0"/>
    <n v="2"/>
  </r>
  <r>
    <x v="38"/>
    <x v="0"/>
    <n v="0"/>
    <n v="2"/>
    <n v="3.7328500000000001E-2"/>
    <n v="3.1130480000000002E-3"/>
    <n v="1"/>
    <n v="0"/>
    <n v="2"/>
  </r>
  <r>
    <x v="39"/>
    <x v="0"/>
    <n v="0"/>
    <n v="2"/>
    <n v="2.1022281E-2"/>
    <n v="1.42337E-4"/>
    <n v="1"/>
    <n v="0"/>
    <n v="2"/>
  </r>
  <r>
    <x v="40"/>
    <x v="0"/>
    <n v="0"/>
    <n v="2"/>
    <n v="1.5541074E-2"/>
    <n v="5.5213999999999997E-5"/>
    <n v="1"/>
    <n v="0"/>
    <n v="2"/>
  </r>
  <r>
    <x v="41"/>
    <x v="0"/>
    <n v="0"/>
    <n v="3"/>
    <n v="2.2313482999999999E-2"/>
    <n v="3.3751199999999999E-4"/>
    <n v="1"/>
    <n v="0"/>
    <n v="3"/>
  </r>
  <r>
    <x v="42"/>
    <x v="0"/>
    <n v="0"/>
    <n v="4"/>
    <n v="3.3621969000000002E-2"/>
    <n v="1.03163E-4"/>
    <n v="1"/>
    <n v="0"/>
    <n v="4"/>
  </r>
  <r>
    <x v="43"/>
    <x v="0"/>
    <n v="0"/>
    <n v="2"/>
    <n v="4.5572260000000002E-3"/>
    <n v="3.3453E-5"/>
    <n v="1"/>
    <n v="0"/>
    <n v="2"/>
  </r>
  <r>
    <x v="44"/>
    <x v="0"/>
    <n v="0"/>
    <n v="2"/>
    <n v="6.5327500000000004E-3"/>
    <n v="3.2320999999999998E-5"/>
    <n v="1"/>
    <n v="0"/>
    <n v="2"/>
  </r>
  <r>
    <x v="45"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3" indent="0" multipleFieldFilters="0">
  <location ref="A1:I49" firstHeaderRow="1" firstDataRow="3" firstDataCol="1"/>
  <pivotFields count="9"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  <pivotField dataField="1" showAll="0"/>
    <pivotField showAll="0"/>
    <pivotField dataField="1" showAll="0"/>
    <pivotField dataField="1" showAll="0"/>
    <pivotField showAll="0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</rowItems>
  <colFields count="2">
    <field x="1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dataFields count="4">
    <dataField name="Min. score" fld="3" subtotal="min" baseField="0" baseItem="0"/>
    <dataField name="Sum Total T(s)" fld="4" baseField="0" baseItem="0"/>
    <dataField name="hasBest" fld="6" subtotal="max" baseField="0" baseItem="0"/>
    <dataField name="Min. %Dev2Best" fld="7" subtotal="min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>
      <selection activeCell="C48" sqref="A4:C48"/>
    </sheetView>
  </sheetViews>
  <sheetFormatPr baseColWidth="10" defaultColWidth="8.6640625" defaultRowHeight="15" x14ac:dyDescent="0.2"/>
  <cols>
    <col min="1" max="1" width="16.5" bestFit="1" customWidth="1"/>
    <col min="2" max="2" width="128.83203125" bestFit="1" customWidth="1"/>
    <col min="3" max="3" width="12.1640625" bestFit="1" customWidth="1"/>
    <col min="4" max="4" width="7" bestFit="1" customWidth="1"/>
    <col min="5" max="5" width="13.83203125" bestFit="1" customWidth="1"/>
    <col min="6" max="6" width="9.33203125" bestFit="1" customWidth="1"/>
    <col min="7" max="7" width="11.5" bestFit="1" customWidth="1"/>
    <col min="8" max="8" width="7" bestFit="1" customWidth="1"/>
    <col min="9" max="9" width="13.83203125" bestFit="1" customWidth="1"/>
  </cols>
  <sheetData>
    <row r="1" spans="1:9" x14ac:dyDescent="0.2">
      <c r="B1" s="1" t="s">
        <v>125</v>
      </c>
    </row>
    <row r="2" spans="1:9" x14ac:dyDescent="0.2">
      <c r="B2" t="s">
        <v>10</v>
      </c>
      <c r="F2" t="s">
        <v>126</v>
      </c>
    </row>
    <row r="3" spans="1:9" x14ac:dyDescent="0.2">
      <c r="A3" s="1" t="s">
        <v>127</v>
      </c>
      <c r="B3" t="s">
        <v>55</v>
      </c>
      <c r="C3" t="s">
        <v>56</v>
      </c>
      <c r="D3" t="s">
        <v>57</v>
      </c>
      <c r="E3" t="s">
        <v>58</v>
      </c>
      <c r="F3" t="s">
        <v>55</v>
      </c>
      <c r="G3" t="s">
        <v>56</v>
      </c>
      <c r="H3" t="s">
        <v>57</v>
      </c>
      <c r="I3" t="s">
        <v>58</v>
      </c>
    </row>
    <row r="4" spans="1:9" x14ac:dyDescent="0.2">
      <c r="A4" s="2" t="s">
        <v>9</v>
      </c>
      <c r="B4" s="41">
        <v>5</v>
      </c>
      <c r="C4" s="41">
        <v>0.20960905899999999</v>
      </c>
      <c r="D4" s="41">
        <v>1</v>
      </c>
      <c r="E4" s="41">
        <v>0</v>
      </c>
      <c r="F4" s="41"/>
      <c r="G4" s="41"/>
      <c r="H4" s="41"/>
      <c r="I4" s="41"/>
    </row>
    <row r="5" spans="1:9" x14ac:dyDescent="0.2">
      <c r="A5" s="2" t="s">
        <v>11</v>
      </c>
      <c r="B5" s="41">
        <v>2</v>
      </c>
      <c r="C5" s="41">
        <v>1.4192444E-2</v>
      </c>
      <c r="D5" s="41">
        <v>1</v>
      </c>
      <c r="E5" s="41">
        <v>0</v>
      </c>
      <c r="F5" s="41"/>
      <c r="G5" s="41"/>
      <c r="H5" s="41"/>
      <c r="I5" s="41"/>
    </row>
    <row r="6" spans="1:9" x14ac:dyDescent="0.2">
      <c r="A6" s="2" t="s">
        <v>12</v>
      </c>
      <c r="B6" s="41">
        <v>3</v>
      </c>
      <c r="C6" s="41">
        <v>2.0994009000000001E-2</v>
      </c>
      <c r="D6" s="41">
        <v>1</v>
      </c>
      <c r="E6" s="41">
        <v>0</v>
      </c>
      <c r="F6" s="41"/>
      <c r="G6" s="41"/>
      <c r="H6" s="41"/>
      <c r="I6" s="41"/>
    </row>
    <row r="7" spans="1:9" x14ac:dyDescent="0.2">
      <c r="A7" s="2" t="s">
        <v>13</v>
      </c>
      <c r="B7" s="41">
        <v>3</v>
      </c>
      <c r="C7" s="41">
        <v>1.6218584000000001E-2</v>
      </c>
      <c r="D7" s="41">
        <v>1</v>
      </c>
      <c r="E7" s="41">
        <v>0</v>
      </c>
      <c r="F7" s="41"/>
      <c r="G7" s="41"/>
      <c r="H7" s="41"/>
      <c r="I7" s="41"/>
    </row>
    <row r="8" spans="1:9" x14ac:dyDescent="0.2">
      <c r="A8" s="2" t="s">
        <v>14</v>
      </c>
      <c r="B8" s="41">
        <v>3</v>
      </c>
      <c r="C8" s="41">
        <v>2.3394148999999999E-2</v>
      </c>
      <c r="D8" s="41">
        <v>1</v>
      </c>
      <c r="E8" s="41">
        <v>0</v>
      </c>
      <c r="F8" s="41"/>
      <c r="G8" s="41"/>
      <c r="H8" s="41"/>
      <c r="I8" s="41"/>
    </row>
    <row r="9" spans="1:9" x14ac:dyDescent="0.2">
      <c r="A9" s="2" t="s">
        <v>15</v>
      </c>
      <c r="B9" s="41">
        <v>4</v>
      </c>
      <c r="C9" s="41">
        <v>4.4042919999999999E-2</v>
      </c>
      <c r="D9" s="41">
        <v>1</v>
      </c>
      <c r="E9" s="41">
        <v>0</v>
      </c>
      <c r="F9" s="41"/>
      <c r="G9" s="41"/>
      <c r="H9" s="41"/>
      <c r="I9" s="41"/>
    </row>
    <row r="10" spans="1:9" x14ac:dyDescent="0.2">
      <c r="A10" s="2" t="s">
        <v>16</v>
      </c>
      <c r="B10" s="41">
        <v>2</v>
      </c>
      <c r="C10" s="41">
        <v>2.4190894000000001E-2</v>
      </c>
      <c r="D10" s="41">
        <v>1</v>
      </c>
      <c r="E10" s="41">
        <v>0</v>
      </c>
      <c r="F10" s="41"/>
      <c r="G10" s="41"/>
      <c r="H10" s="41"/>
      <c r="I10" s="41"/>
    </row>
    <row r="11" spans="1:9" x14ac:dyDescent="0.2">
      <c r="A11" s="2" t="s">
        <v>17</v>
      </c>
      <c r="B11" s="41">
        <v>2</v>
      </c>
      <c r="C11" s="41">
        <v>2.7261191000000001E-2</v>
      </c>
      <c r="D11" s="41">
        <v>1</v>
      </c>
      <c r="E11" s="41">
        <v>0</v>
      </c>
      <c r="F11" s="41"/>
      <c r="G11" s="41"/>
      <c r="H11" s="41"/>
      <c r="I11" s="41"/>
    </row>
    <row r="12" spans="1:9" x14ac:dyDescent="0.2">
      <c r="A12" s="2" t="s">
        <v>18</v>
      </c>
      <c r="B12" s="41">
        <v>3</v>
      </c>
      <c r="C12" s="41">
        <v>2.5079842000000001E-2</v>
      </c>
      <c r="D12" s="41">
        <v>1</v>
      </c>
      <c r="E12" s="41">
        <v>0</v>
      </c>
      <c r="F12" s="41"/>
      <c r="G12" s="41"/>
      <c r="H12" s="41"/>
      <c r="I12" s="41"/>
    </row>
    <row r="13" spans="1:9" x14ac:dyDescent="0.2">
      <c r="A13" s="2" t="s">
        <v>19</v>
      </c>
      <c r="B13" s="41">
        <v>2</v>
      </c>
      <c r="C13" s="41">
        <v>3.7918647E-2</v>
      </c>
      <c r="D13" s="41">
        <v>1</v>
      </c>
      <c r="E13" s="41">
        <v>0</v>
      </c>
      <c r="F13" s="41"/>
      <c r="G13" s="41"/>
      <c r="H13" s="41"/>
      <c r="I13" s="41"/>
    </row>
    <row r="14" spans="1:9" x14ac:dyDescent="0.2">
      <c r="A14" s="2" t="s">
        <v>20</v>
      </c>
      <c r="B14" s="41">
        <v>3</v>
      </c>
      <c r="C14" s="41">
        <v>5.3397373999999997E-2</v>
      </c>
      <c r="D14" s="41">
        <v>1</v>
      </c>
      <c r="E14" s="41">
        <v>0</v>
      </c>
      <c r="F14" s="41"/>
      <c r="G14" s="41"/>
      <c r="H14" s="41"/>
      <c r="I14" s="41"/>
    </row>
    <row r="15" spans="1:9" x14ac:dyDescent="0.2">
      <c r="A15" s="2" t="s">
        <v>21</v>
      </c>
      <c r="B15" s="41">
        <v>1</v>
      </c>
      <c r="C15" s="41">
        <v>1.0242797E-2</v>
      </c>
      <c r="D15" s="41">
        <v>1</v>
      </c>
      <c r="E15" s="41">
        <v>0</v>
      </c>
      <c r="F15" s="41"/>
      <c r="G15" s="41"/>
      <c r="H15" s="41"/>
      <c r="I15" s="41"/>
    </row>
    <row r="16" spans="1:9" x14ac:dyDescent="0.2">
      <c r="A16" s="2" t="s">
        <v>22</v>
      </c>
      <c r="B16" s="41">
        <v>2</v>
      </c>
      <c r="C16" s="41">
        <v>1.6371190000000001E-2</v>
      </c>
      <c r="D16" s="41">
        <v>1</v>
      </c>
      <c r="E16" s="41">
        <v>0</v>
      </c>
      <c r="F16" s="41"/>
      <c r="G16" s="41"/>
      <c r="H16" s="41"/>
      <c r="I16" s="41"/>
    </row>
    <row r="17" spans="1:9" x14ac:dyDescent="0.2">
      <c r="A17" s="2" t="s">
        <v>23</v>
      </c>
      <c r="B17" s="41">
        <v>1</v>
      </c>
      <c r="C17" s="41">
        <v>2.5677643E-2</v>
      </c>
      <c r="D17" s="41">
        <v>1</v>
      </c>
      <c r="E17" s="41">
        <v>0</v>
      </c>
      <c r="F17" s="41"/>
      <c r="G17" s="41"/>
      <c r="H17" s="41"/>
      <c r="I17" s="41"/>
    </row>
    <row r="18" spans="1:9" x14ac:dyDescent="0.2">
      <c r="A18" s="2" t="s">
        <v>24</v>
      </c>
      <c r="B18" s="41">
        <v>4</v>
      </c>
      <c r="C18" s="41">
        <v>1.9659095000000001E-2</v>
      </c>
      <c r="D18" s="41">
        <v>1</v>
      </c>
      <c r="E18" s="41">
        <v>0</v>
      </c>
      <c r="F18" s="41"/>
      <c r="G18" s="41"/>
      <c r="H18" s="41"/>
      <c r="I18" s="41"/>
    </row>
    <row r="19" spans="1:9" x14ac:dyDescent="0.2">
      <c r="A19" s="2" t="s">
        <v>25</v>
      </c>
      <c r="B19" s="41">
        <v>2</v>
      </c>
      <c r="C19" s="41">
        <v>1.7127508E-2</v>
      </c>
      <c r="D19" s="41">
        <v>1</v>
      </c>
      <c r="E19" s="41">
        <v>0</v>
      </c>
      <c r="F19" s="41"/>
      <c r="G19" s="41"/>
      <c r="H19" s="41"/>
      <c r="I19" s="41"/>
    </row>
    <row r="20" spans="1:9" x14ac:dyDescent="0.2">
      <c r="A20" s="2" t="s">
        <v>26</v>
      </c>
      <c r="B20" s="41">
        <v>6</v>
      </c>
      <c r="C20" s="41">
        <v>4.4279013999999998E-2</v>
      </c>
      <c r="D20" s="41">
        <v>1</v>
      </c>
      <c r="E20" s="41">
        <v>0</v>
      </c>
      <c r="F20" s="41"/>
      <c r="G20" s="41"/>
      <c r="H20" s="41"/>
      <c r="I20" s="41"/>
    </row>
    <row r="21" spans="1:9" x14ac:dyDescent="0.2">
      <c r="A21" s="2" t="s">
        <v>27</v>
      </c>
      <c r="B21" s="41">
        <v>2</v>
      </c>
      <c r="C21" s="41">
        <v>2.1806112999999998E-2</v>
      </c>
      <c r="D21" s="41">
        <v>1</v>
      </c>
      <c r="E21" s="41">
        <v>0</v>
      </c>
      <c r="F21" s="41"/>
      <c r="G21" s="41"/>
      <c r="H21" s="41"/>
      <c r="I21" s="41"/>
    </row>
    <row r="22" spans="1:9" x14ac:dyDescent="0.2">
      <c r="A22" s="2" t="s">
        <v>28</v>
      </c>
      <c r="B22" s="41">
        <v>6</v>
      </c>
      <c r="C22" s="41">
        <v>7.9812408000000001E-2</v>
      </c>
      <c r="D22" s="41">
        <v>1</v>
      </c>
      <c r="E22" s="41">
        <v>0</v>
      </c>
      <c r="F22" s="41"/>
      <c r="G22" s="41"/>
      <c r="H22" s="41"/>
      <c r="I22" s="41"/>
    </row>
    <row r="23" spans="1:9" x14ac:dyDescent="0.2">
      <c r="A23" s="2" t="s">
        <v>29</v>
      </c>
      <c r="B23" s="41">
        <v>2</v>
      </c>
      <c r="C23" s="41">
        <v>3.7355881000000001E-2</v>
      </c>
      <c r="D23" s="41">
        <v>1</v>
      </c>
      <c r="E23" s="41">
        <v>0</v>
      </c>
      <c r="F23" s="41"/>
      <c r="G23" s="41"/>
      <c r="H23" s="41"/>
      <c r="I23" s="41"/>
    </row>
    <row r="24" spans="1:9" x14ac:dyDescent="0.2">
      <c r="A24" s="2" t="s">
        <v>30</v>
      </c>
      <c r="B24" s="41">
        <v>4</v>
      </c>
      <c r="C24" s="41">
        <v>1.9428032000000001E-2</v>
      </c>
      <c r="D24" s="41">
        <v>1</v>
      </c>
      <c r="E24" s="41">
        <v>0</v>
      </c>
      <c r="F24" s="41"/>
      <c r="G24" s="41"/>
      <c r="H24" s="41"/>
      <c r="I24" s="41"/>
    </row>
    <row r="25" spans="1:9" x14ac:dyDescent="0.2">
      <c r="A25" s="2" t="s">
        <v>31</v>
      </c>
      <c r="B25" s="41">
        <v>3</v>
      </c>
      <c r="C25" s="41">
        <v>1.8780178000000002E-2</v>
      </c>
      <c r="D25" s="41">
        <v>1</v>
      </c>
      <c r="E25" s="41">
        <v>0</v>
      </c>
      <c r="F25" s="41"/>
      <c r="G25" s="41"/>
      <c r="H25" s="41"/>
      <c r="I25" s="41"/>
    </row>
    <row r="26" spans="1:9" x14ac:dyDescent="0.2">
      <c r="A26" s="2" t="s">
        <v>32</v>
      </c>
      <c r="B26" s="41">
        <v>4</v>
      </c>
      <c r="C26" s="41">
        <v>5.4489331000000002E-2</v>
      </c>
      <c r="D26" s="41">
        <v>1</v>
      </c>
      <c r="E26" s="41">
        <v>0</v>
      </c>
      <c r="F26" s="41"/>
      <c r="G26" s="41"/>
      <c r="H26" s="41"/>
      <c r="I26" s="41"/>
    </row>
    <row r="27" spans="1:9" x14ac:dyDescent="0.2">
      <c r="A27" s="2" t="s">
        <v>33</v>
      </c>
      <c r="B27" s="41">
        <v>2</v>
      </c>
      <c r="C27" s="41">
        <v>5.4593970000000004E-3</v>
      </c>
      <c r="D27" s="41">
        <v>1</v>
      </c>
      <c r="E27" s="41">
        <v>0</v>
      </c>
      <c r="F27" s="41"/>
      <c r="G27" s="41"/>
      <c r="H27" s="41"/>
      <c r="I27" s="41"/>
    </row>
    <row r="28" spans="1:9" x14ac:dyDescent="0.2">
      <c r="A28" s="2" t="s">
        <v>34</v>
      </c>
      <c r="B28" s="41">
        <v>2</v>
      </c>
      <c r="C28" s="41">
        <v>5.8794859999999997E-3</v>
      </c>
      <c r="D28" s="41">
        <v>1</v>
      </c>
      <c r="E28" s="41">
        <v>0</v>
      </c>
      <c r="F28" s="41"/>
      <c r="G28" s="41"/>
      <c r="H28" s="41"/>
      <c r="I28" s="41"/>
    </row>
    <row r="29" spans="1:9" x14ac:dyDescent="0.2">
      <c r="A29" s="2" t="s">
        <v>35</v>
      </c>
      <c r="B29" s="41">
        <v>1</v>
      </c>
      <c r="C29" s="41">
        <v>5.4241610000000003E-3</v>
      </c>
      <c r="D29" s="41">
        <v>1</v>
      </c>
      <c r="E29" s="41">
        <v>0</v>
      </c>
      <c r="F29" s="41"/>
      <c r="G29" s="41"/>
      <c r="H29" s="41"/>
      <c r="I29" s="41"/>
    </row>
    <row r="30" spans="1:9" x14ac:dyDescent="0.2">
      <c r="A30" s="2" t="s">
        <v>36</v>
      </c>
      <c r="B30" s="41">
        <v>2</v>
      </c>
      <c r="C30" s="41">
        <v>1.2838887E-2</v>
      </c>
      <c r="D30" s="41">
        <v>1</v>
      </c>
      <c r="E30" s="41">
        <v>0</v>
      </c>
      <c r="F30" s="41"/>
      <c r="G30" s="41"/>
      <c r="H30" s="41"/>
      <c r="I30" s="41"/>
    </row>
    <row r="31" spans="1:9" x14ac:dyDescent="0.2">
      <c r="A31" s="2" t="s">
        <v>37</v>
      </c>
      <c r="B31" s="41">
        <v>2</v>
      </c>
      <c r="C31" s="41">
        <v>1.6371650000000001E-2</v>
      </c>
      <c r="D31" s="41">
        <v>1</v>
      </c>
      <c r="E31" s="41">
        <v>0</v>
      </c>
      <c r="F31" s="41"/>
      <c r="G31" s="41"/>
      <c r="H31" s="41"/>
      <c r="I31" s="41"/>
    </row>
    <row r="32" spans="1:9" x14ac:dyDescent="0.2">
      <c r="A32" s="2" t="s">
        <v>38</v>
      </c>
      <c r="B32" s="41">
        <v>1</v>
      </c>
      <c r="C32" s="41">
        <v>8.2771909999999997E-3</v>
      </c>
      <c r="D32" s="41">
        <v>1</v>
      </c>
      <c r="E32" s="41">
        <v>0</v>
      </c>
      <c r="F32" s="41"/>
      <c r="G32" s="41"/>
      <c r="H32" s="41"/>
      <c r="I32" s="41"/>
    </row>
    <row r="33" spans="1:9" x14ac:dyDescent="0.2">
      <c r="A33" s="2" t="s">
        <v>39</v>
      </c>
      <c r="B33" s="41">
        <v>2</v>
      </c>
      <c r="C33" s="41">
        <v>3.1458622999999998E-2</v>
      </c>
      <c r="D33" s="41">
        <v>1</v>
      </c>
      <c r="E33" s="41">
        <v>0</v>
      </c>
      <c r="F33" s="41"/>
      <c r="G33" s="41"/>
      <c r="H33" s="41"/>
      <c r="I33" s="41"/>
    </row>
    <row r="34" spans="1:9" x14ac:dyDescent="0.2">
      <c r="A34" s="2" t="s">
        <v>40</v>
      </c>
      <c r="B34" s="41">
        <v>3</v>
      </c>
      <c r="C34" s="41">
        <v>4.0989365E-2</v>
      </c>
      <c r="D34" s="41">
        <v>1</v>
      </c>
      <c r="E34" s="41">
        <v>0</v>
      </c>
      <c r="F34" s="41"/>
      <c r="G34" s="41"/>
      <c r="H34" s="41"/>
      <c r="I34" s="41"/>
    </row>
    <row r="35" spans="1:9" x14ac:dyDescent="0.2">
      <c r="A35" s="2" t="s">
        <v>41</v>
      </c>
      <c r="B35" s="41">
        <v>1</v>
      </c>
      <c r="C35" s="41">
        <v>3.3727578000000001E-2</v>
      </c>
      <c r="D35" s="41">
        <v>1</v>
      </c>
      <c r="E35" s="41">
        <v>0</v>
      </c>
      <c r="F35" s="41"/>
      <c r="G35" s="41"/>
      <c r="H35" s="41"/>
      <c r="I35" s="41"/>
    </row>
    <row r="36" spans="1:9" x14ac:dyDescent="0.2">
      <c r="A36" s="2" t="s">
        <v>42</v>
      </c>
      <c r="B36" s="41">
        <v>1</v>
      </c>
      <c r="C36" s="41">
        <v>9.7831250000000002E-3</v>
      </c>
      <c r="D36" s="41">
        <v>1</v>
      </c>
      <c r="E36" s="41">
        <v>0</v>
      </c>
      <c r="F36" s="41"/>
      <c r="G36" s="41"/>
      <c r="H36" s="41"/>
      <c r="I36" s="41"/>
    </row>
    <row r="37" spans="1:9" x14ac:dyDescent="0.2">
      <c r="A37" s="2" t="s">
        <v>43</v>
      </c>
      <c r="B37" s="41">
        <v>1</v>
      </c>
      <c r="C37" s="41">
        <v>1.5775022999999999E-2</v>
      </c>
      <c r="D37" s="41">
        <v>1</v>
      </c>
      <c r="E37" s="41">
        <v>0</v>
      </c>
      <c r="F37" s="41"/>
      <c r="G37" s="41"/>
      <c r="H37" s="41"/>
      <c r="I37" s="41"/>
    </row>
    <row r="38" spans="1:9" x14ac:dyDescent="0.2">
      <c r="A38" s="2" t="s">
        <v>44</v>
      </c>
      <c r="B38" s="41">
        <v>1</v>
      </c>
      <c r="C38" s="41">
        <v>2.4819352999999999E-2</v>
      </c>
      <c r="D38" s="41">
        <v>1</v>
      </c>
      <c r="E38" s="41">
        <v>0</v>
      </c>
      <c r="F38" s="41"/>
      <c r="G38" s="41"/>
      <c r="H38" s="41"/>
      <c r="I38" s="41"/>
    </row>
    <row r="39" spans="1:9" x14ac:dyDescent="0.2">
      <c r="A39" s="2" t="s">
        <v>45</v>
      </c>
      <c r="B39" s="41">
        <v>2</v>
      </c>
      <c r="C39" s="41">
        <v>1.2028046000000001E-2</v>
      </c>
      <c r="D39" s="41">
        <v>1</v>
      </c>
      <c r="E39" s="41">
        <v>0</v>
      </c>
      <c r="F39" s="41"/>
      <c r="G39" s="41"/>
      <c r="H39" s="41"/>
      <c r="I39" s="41"/>
    </row>
    <row r="40" spans="1:9" x14ac:dyDescent="0.2">
      <c r="A40" s="2" t="s">
        <v>46</v>
      </c>
      <c r="B40" s="41">
        <v>1</v>
      </c>
      <c r="C40" s="41">
        <v>6.2003279999999997E-3</v>
      </c>
      <c r="D40" s="41">
        <v>1</v>
      </c>
      <c r="E40" s="41">
        <v>0</v>
      </c>
      <c r="F40" s="41"/>
      <c r="G40" s="41"/>
      <c r="H40" s="41"/>
      <c r="I40" s="41"/>
    </row>
    <row r="41" spans="1:9" x14ac:dyDescent="0.2">
      <c r="A41" s="2" t="s">
        <v>47</v>
      </c>
      <c r="B41" s="41">
        <v>2</v>
      </c>
      <c r="C41" s="41">
        <v>1.4043363999999999E-2</v>
      </c>
      <c r="D41" s="41">
        <v>1</v>
      </c>
      <c r="E41" s="41">
        <v>0</v>
      </c>
      <c r="F41" s="41"/>
      <c r="G41" s="41"/>
      <c r="H41" s="41"/>
      <c r="I41" s="41"/>
    </row>
    <row r="42" spans="1:9" x14ac:dyDescent="0.2">
      <c r="A42" s="2" t="s">
        <v>48</v>
      </c>
      <c r="B42" s="41">
        <v>2</v>
      </c>
      <c r="C42" s="41">
        <v>3.7328500000000001E-2</v>
      </c>
      <c r="D42" s="41">
        <v>1</v>
      </c>
      <c r="E42" s="41">
        <v>0</v>
      </c>
      <c r="F42" s="41"/>
      <c r="G42" s="41"/>
      <c r="H42" s="41"/>
      <c r="I42" s="41"/>
    </row>
    <row r="43" spans="1:9" x14ac:dyDescent="0.2">
      <c r="A43" s="2" t="s">
        <v>49</v>
      </c>
      <c r="B43" s="41">
        <v>2</v>
      </c>
      <c r="C43" s="41">
        <v>2.1022281E-2</v>
      </c>
      <c r="D43" s="41">
        <v>1</v>
      </c>
      <c r="E43" s="41">
        <v>0</v>
      </c>
      <c r="F43" s="41"/>
      <c r="G43" s="41"/>
      <c r="H43" s="41"/>
      <c r="I43" s="41"/>
    </row>
    <row r="44" spans="1:9" x14ac:dyDescent="0.2">
      <c r="A44" s="2" t="s">
        <v>50</v>
      </c>
      <c r="B44" s="41">
        <v>2</v>
      </c>
      <c r="C44" s="41">
        <v>1.5541074E-2</v>
      </c>
      <c r="D44" s="41">
        <v>1</v>
      </c>
      <c r="E44" s="41">
        <v>0</v>
      </c>
      <c r="F44" s="41"/>
      <c r="G44" s="41"/>
      <c r="H44" s="41"/>
      <c r="I44" s="41"/>
    </row>
    <row r="45" spans="1:9" x14ac:dyDescent="0.2">
      <c r="A45" s="2" t="s">
        <v>51</v>
      </c>
      <c r="B45" s="41">
        <v>3</v>
      </c>
      <c r="C45" s="41">
        <v>2.2313482999999999E-2</v>
      </c>
      <c r="D45" s="41">
        <v>1</v>
      </c>
      <c r="E45" s="41">
        <v>0</v>
      </c>
      <c r="F45" s="41"/>
      <c r="G45" s="41"/>
      <c r="H45" s="41"/>
      <c r="I45" s="41"/>
    </row>
    <row r="46" spans="1:9" x14ac:dyDescent="0.2">
      <c r="A46" s="2" t="s">
        <v>52</v>
      </c>
      <c r="B46" s="41">
        <v>4</v>
      </c>
      <c r="C46" s="41">
        <v>3.3621969000000002E-2</v>
      </c>
      <c r="D46" s="41">
        <v>1</v>
      </c>
      <c r="E46" s="41">
        <v>0</v>
      </c>
      <c r="F46" s="41"/>
      <c r="G46" s="41"/>
      <c r="H46" s="41"/>
      <c r="I46" s="41"/>
    </row>
    <row r="47" spans="1:9" x14ac:dyDescent="0.2">
      <c r="A47" s="2" t="s">
        <v>53</v>
      </c>
      <c r="B47" s="41">
        <v>2</v>
      </c>
      <c r="C47" s="41">
        <v>4.5572260000000002E-3</v>
      </c>
      <c r="D47" s="41">
        <v>1</v>
      </c>
      <c r="E47" s="41">
        <v>0</v>
      </c>
      <c r="F47" s="41"/>
      <c r="G47" s="41"/>
      <c r="H47" s="41"/>
      <c r="I47" s="41"/>
    </row>
    <row r="48" spans="1:9" x14ac:dyDescent="0.2">
      <c r="A48" s="2" t="s">
        <v>54</v>
      </c>
      <c r="B48" s="41">
        <v>2</v>
      </c>
      <c r="C48" s="41">
        <v>6.5327500000000004E-3</v>
      </c>
      <c r="D48" s="41">
        <v>1</v>
      </c>
      <c r="E48" s="41">
        <v>0</v>
      </c>
      <c r="F48" s="41"/>
      <c r="G48" s="41"/>
      <c r="H48" s="41"/>
      <c r="I48" s="41"/>
    </row>
    <row r="49" spans="1:9" x14ac:dyDescent="0.2">
      <c r="A49" s="2" t="s">
        <v>126</v>
      </c>
      <c r="B49" s="41"/>
      <c r="C49" s="41"/>
      <c r="D49" s="41"/>
      <c r="E49" s="41"/>
      <c r="F49" s="41"/>
      <c r="G49" s="41"/>
      <c r="H49" s="41"/>
      <c r="I49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E17" sqref="E17"/>
    </sheetView>
  </sheetViews>
  <sheetFormatPr baseColWidth="10" defaultColWidth="8.6640625" defaultRowHeight="15" x14ac:dyDescent="0.2"/>
  <cols>
    <col min="1" max="1" width="14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0</v>
      </c>
      <c r="D2">
        <v>5</v>
      </c>
      <c r="E2">
        <v>0.20960905899999999</v>
      </c>
      <c r="F2">
        <v>2.844402E-2</v>
      </c>
      <c r="G2">
        <f t="shared" ref="G2:G46" si="0">IF(I2=D2,1,0)</f>
        <v>1</v>
      </c>
      <c r="H2">
        <f t="shared" ref="H2:H46" si="1">ABS(D2-I2)/I2</f>
        <v>0</v>
      </c>
      <c r="I2">
        <f t="array" ref="I2">MIN(IF(A:A=A2,D:D))</f>
        <v>5</v>
      </c>
    </row>
    <row r="3" spans="1:9" x14ac:dyDescent="0.2">
      <c r="A3" t="s">
        <v>11</v>
      </c>
      <c r="B3" t="s">
        <v>10</v>
      </c>
      <c r="C3">
        <v>0</v>
      </c>
      <c r="D3">
        <v>2</v>
      </c>
      <c r="E3">
        <v>1.4192444E-2</v>
      </c>
      <c r="F3">
        <v>2.3206499999999999E-4</v>
      </c>
      <c r="G3">
        <f t="shared" si="0"/>
        <v>1</v>
      </c>
      <c r="H3">
        <f t="shared" si="1"/>
        <v>0</v>
      </c>
      <c r="I3">
        <f t="array" ref="I3">MIN(IF(A:A=A3,D:D))</f>
        <v>2</v>
      </c>
    </row>
    <row r="4" spans="1:9" x14ac:dyDescent="0.2">
      <c r="A4" t="s">
        <v>12</v>
      </c>
      <c r="B4" t="s">
        <v>10</v>
      </c>
      <c r="C4">
        <v>0</v>
      </c>
      <c r="D4">
        <v>3</v>
      </c>
      <c r="E4">
        <v>2.0994009000000001E-2</v>
      </c>
      <c r="F4">
        <v>5.3109000000000003E-5</v>
      </c>
      <c r="G4">
        <f t="shared" si="0"/>
        <v>1</v>
      </c>
      <c r="H4">
        <f t="shared" si="1"/>
        <v>0</v>
      </c>
      <c r="I4">
        <f t="array" ref="I4">MIN(IF(A:A=A4,D:D))</f>
        <v>3</v>
      </c>
    </row>
    <row r="5" spans="1:9" x14ac:dyDescent="0.2">
      <c r="A5" t="s">
        <v>13</v>
      </c>
      <c r="B5" t="s">
        <v>10</v>
      </c>
      <c r="C5">
        <v>0</v>
      </c>
      <c r="D5">
        <v>3</v>
      </c>
      <c r="E5">
        <v>1.6218584000000001E-2</v>
      </c>
      <c r="F5">
        <v>6.1395000000000004E-5</v>
      </c>
      <c r="G5">
        <f t="shared" si="0"/>
        <v>1</v>
      </c>
      <c r="H5">
        <f t="shared" si="1"/>
        <v>0</v>
      </c>
      <c r="I5">
        <f t="array" ref="I5">MIN(IF(A:A=A5,D:D))</f>
        <v>3</v>
      </c>
    </row>
    <row r="6" spans="1:9" x14ac:dyDescent="0.2">
      <c r="A6" t="s">
        <v>14</v>
      </c>
      <c r="B6" t="s">
        <v>10</v>
      </c>
      <c r="C6">
        <v>0</v>
      </c>
      <c r="D6">
        <v>3</v>
      </c>
      <c r="E6">
        <v>2.3394148999999999E-2</v>
      </c>
      <c r="F6">
        <v>1.0641000000000001E-4</v>
      </c>
      <c r="G6">
        <f t="shared" si="0"/>
        <v>1</v>
      </c>
      <c r="H6">
        <f t="shared" si="1"/>
        <v>0</v>
      </c>
      <c r="I6">
        <f t="array" ref="I6">MIN(IF(A:A=A6,D:D))</f>
        <v>3</v>
      </c>
    </row>
    <row r="7" spans="1:9" x14ac:dyDescent="0.2">
      <c r="A7" t="s">
        <v>15</v>
      </c>
      <c r="B7" t="s">
        <v>10</v>
      </c>
      <c r="C7">
        <v>0</v>
      </c>
      <c r="D7">
        <v>4</v>
      </c>
      <c r="E7">
        <v>4.4042919999999999E-2</v>
      </c>
      <c r="F7">
        <v>6.6503999999999999E-5</v>
      </c>
      <c r="G7">
        <f t="shared" si="0"/>
        <v>1</v>
      </c>
      <c r="H7">
        <f t="shared" si="1"/>
        <v>0</v>
      </c>
      <c r="I7">
        <f t="array" ref="I7">MIN(IF(A:A=A7,D:D))</f>
        <v>4</v>
      </c>
    </row>
    <row r="8" spans="1:9" x14ac:dyDescent="0.2">
      <c r="A8" t="s">
        <v>16</v>
      </c>
      <c r="B8" t="s">
        <v>10</v>
      </c>
      <c r="C8">
        <v>0</v>
      </c>
      <c r="D8">
        <v>2</v>
      </c>
      <c r="E8">
        <v>2.4190894000000001E-2</v>
      </c>
      <c r="F8">
        <v>9.8294000000000005E-5</v>
      </c>
      <c r="G8">
        <f t="shared" si="0"/>
        <v>1</v>
      </c>
      <c r="H8">
        <f t="shared" si="1"/>
        <v>0</v>
      </c>
      <c r="I8">
        <f t="array" ref="I8">MIN(IF(A:A=A8,D:D))</f>
        <v>2</v>
      </c>
    </row>
    <row r="9" spans="1:9" x14ac:dyDescent="0.2">
      <c r="A9" t="s">
        <v>17</v>
      </c>
      <c r="B9" t="s">
        <v>10</v>
      </c>
      <c r="C9">
        <v>0</v>
      </c>
      <c r="D9">
        <v>2</v>
      </c>
      <c r="E9">
        <v>2.7261191000000001E-2</v>
      </c>
      <c r="F9">
        <v>3.4277199999999998E-4</v>
      </c>
      <c r="G9">
        <f t="shared" si="0"/>
        <v>1</v>
      </c>
      <c r="H9">
        <f t="shared" si="1"/>
        <v>0</v>
      </c>
      <c r="I9">
        <f t="array" ref="I9">MIN(IF(A:A=A9,D:D))</f>
        <v>2</v>
      </c>
    </row>
    <row r="10" spans="1:9" x14ac:dyDescent="0.2">
      <c r="A10" t="s">
        <v>18</v>
      </c>
      <c r="B10" t="s">
        <v>10</v>
      </c>
      <c r="C10">
        <v>0</v>
      </c>
      <c r="D10">
        <v>3</v>
      </c>
      <c r="E10">
        <v>2.5079842000000001E-2</v>
      </c>
      <c r="F10">
        <v>7.4530999999999995E-5</v>
      </c>
      <c r="G10">
        <f t="shared" si="0"/>
        <v>1</v>
      </c>
      <c r="H10">
        <f t="shared" si="1"/>
        <v>0</v>
      </c>
      <c r="I10">
        <f t="array" ref="I10">MIN(IF(A:A=A10,D:D))</f>
        <v>3</v>
      </c>
    </row>
    <row r="11" spans="1:9" x14ac:dyDescent="0.2">
      <c r="A11" t="s">
        <v>19</v>
      </c>
      <c r="B11" t="s">
        <v>10</v>
      </c>
      <c r="C11">
        <v>0</v>
      </c>
      <c r="D11">
        <v>2</v>
      </c>
      <c r="E11">
        <v>3.7918647E-2</v>
      </c>
      <c r="F11">
        <v>1.2635985000000001E-2</v>
      </c>
      <c r="G11">
        <f t="shared" si="0"/>
        <v>1</v>
      </c>
      <c r="H11">
        <f t="shared" si="1"/>
        <v>0</v>
      </c>
      <c r="I11">
        <f t="array" ref="I11">MIN(IF(A:A=A11,D:D))</f>
        <v>2</v>
      </c>
    </row>
    <row r="12" spans="1:9" x14ac:dyDescent="0.2">
      <c r="A12" t="s">
        <v>20</v>
      </c>
      <c r="B12" t="s">
        <v>10</v>
      </c>
      <c r="C12">
        <v>0</v>
      </c>
      <c r="D12">
        <v>3</v>
      </c>
      <c r="E12">
        <v>5.3397373999999997E-2</v>
      </c>
      <c r="F12">
        <v>8.5349150000000006E-3</v>
      </c>
      <c r="G12">
        <f t="shared" si="0"/>
        <v>1</v>
      </c>
      <c r="H12">
        <f t="shared" si="1"/>
        <v>0</v>
      </c>
      <c r="I12">
        <f t="array" ref="I12">MIN(IF(A:A=A12,D:D))</f>
        <v>3</v>
      </c>
    </row>
    <row r="13" spans="1:9" x14ac:dyDescent="0.2">
      <c r="A13" t="s">
        <v>21</v>
      </c>
      <c r="B13" t="s">
        <v>10</v>
      </c>
      <c r="C13">
        <v>0</v>
      </c>
      <c r="D13">
        <v>1</v>
      </c>
      <c r="E13">
        <v>1.0242797E-2</v>
      </c>
      <c r="F13">
        <v>4.0395999999999997E-5</v>
      </c>
      <c r="G13">
        <f t="shared" si="0"/>
        <v>1</v>
      </c>
      <c r="H13">
        <f t="shared" si="1"/>
        <v>0</v>
      </c>
      <c r="I13">
        <f t="array" ref="I13">MIN(IF(A:A=A13,D:D))</f>
        <v>1</v>
      </c>
    </row>
    <row r="14" spans="1:9" x14ac:dyDescent="0.2">
      <c r="A14" t="s">
        <v>22</v>
      </c>
      <c r="B14" t="s">
        <v>10</v>
      </c>
      <c r="C14">
        <v>0</v>
      </c>
      <c r="D14">
        <v>2</v>
      </c>
      <c r="E14">
        <v>1.6371190000000001E-2</v>
      </c>
      <c r="F14">
        <v>3.1429E-5</v>
      </c>
      <c r="G14">
        <f t="shared" si="0"/>
        <v>1</v>
      </c>
      <c r="H14">
        <f t="shared" si="1"/>
        <v>0</v>
      </c>
      <c r="I14">
        <f t="array" ref="I14">MIN(IF(A:A=A14,D:D))</f>
        <v>2</v>
      </c>
    </row>
    <row r="15" spans="1:9" x14ac:dyDescent="0.2">
      <c r="A15" t="s">
        <v>23</v>
      </c>
      <c r="B15" t="s">
        <v>10</v>
      </c>
      <c r="C15">
        <v>0</v>
      </c>
      <c r="D15">
        <v>1</v>
      </c>
      <c r="E15">
        <v>2.5677643E-2</v>
      </c>
      <c r="F15">
        <v>8.9128000000000005E-5</v>
      </c>
      <c r="G15">
        <f t="shared" si="0"/>
        <v>1</v>
      </c>
      <c r="H15">
        <f t="shared" si="1"/>
        <v>0</v>
      </c>
      <c r="I15">
        <f t="array" ref="I15">MIN(IF(A:A=A15,D:D))</f>
        <v>1</v>
      </c>
    </row>
    <row r="16" spans="1:9" x14ac:dyDescent="0.2">
      <c r="A16" t="s">
        <v>24</v>
      </c>
      <c r="B16" t="s">
        <v>10</v>
      </c>
      <c r="C16">
        <v>0</v>
      </c>
      <c r="D16">
        <v>4</v>
      </c>
      <c r="E16">
        <v>1.9659095000000001E-2</v>
      </c>
      <c r="F16">
        <v>3.7400000000000001E-5</v>
      </c>
      <c r="G16">
        <f t="shared" si="0"/>
        <v>1</v>
      </c>
      <c r="H16">
        <f t="shared" si="1"/>
        <v>0</v>
      </c>
      <c r="I16">
        <f t="array" ref="I16">MIN(IF(A:A=A16,D:D))</f>
        <v>4</v>
      </c>
    </row>
    <row r="17" spans="1:9" x14ac:dyDescent="0.2">
      <c r="A17" t="s">
        <v>25</v>
      </c>
      <c r="B17" t="s">
        <v>10</v>
      </c>
      <c r="C17">
        <v>0</v>
      </c>
      <c r="D17">
        <v>2</v>
      </c>
      <c r="E17">
        <v>1.7127508E-2</v>
      </c>
      <c r="F17">
        <v>1.47677E-4</v>
      </c>
      <c r="G17">
        <f t="shared" si="0"/>
        <v>1</v>
      </c>
      <c r="H17">
        <f t="shared" si="1"/>
        <v>0</v>
      </c>
      <c r="I17">
        <f t="array" ref="I17">MIN(IF(A:A=A17,D:D))</f>
        <v>2</v>
      </c>
    </row>
    <row r="18" spans="1:9" x14ac:dyDescent="0.2">
      <c r="A18" t="s">
        <v>26</v>
      </c>
      <c r="B18" t="s">
        <v>10</v>
      </c>
      <c r="C18">
        <v>0</v>
      </c>
      <c r="D18">
        <v>6</v>
      </c>
      <c r="E18">
        <v>4.4279013999999998E-2</v>
      </c>
      <c r="F18">
        <v>7.6944000000000001E-5</v>
      </c>
      <c r="G18">
        <f t="shared" si="0"/>
        <v>1</v>
      </c>
      <c r="H18">
        <f t="shared" si="1"/>
        <v>0</v>
      </c>
      <c r="I18">
        <f t="array" ref="I18">MIN(IF(A:A=A18,D:D))</f>
        <v>6</v>
      </c>
    </row>
    <row r="19" spans="1:9" x14ac:dyDescent="0.2">
      <c r="A19" t="s">
        <v>27</v>
      </c>
      <c r="B19" t="s">
        <v>10</v>
      </c>
      <c r="C19">
        <v>0</v>
      </c>
      <c r="D19">
        <v>2</v>
      </c>
      <c r="E19">
        <v>2.1806112999999998E-2</v>
      </c>
      <c r="F19">
        <v>1.1568700000000001E-4</v>
      </c>
      <c r="G19">
        <f t="shared" si="0"/>
        <v>1</v>
      </c>
      <c r="H19">
        <f t="shared" si="1"/>
        <v>0</v>
      </c>
      <c r="I19">
        <f t="array" ref="I19">MIN(IF(A:A=A19,D:D))</f>
        <v>2</v>
      </c>
    </row>
    <row r="20" spans="1:9" x14ac:dyDescent="0.2">
      <c r="A20" t="s">
        <v>28</v>
      </c>
      <c r="B20" t="s">
        <v>10</v>
      </c>
      <c r="C20">
        <v>0</v>
      </c>
      <c r="D20">
        <v>6</v>
      </c>
      <c r="E20">
        <v>7.9812408000000001E-2</v>
      </c>
      <c r="F20">
        <v>9.0289000000000002E-5</v>
      </c>
      <c r="G20">
        <f t="shared" si="0"/>
        <v>1</v>
      </c>
      <c r="H20">
        <f t="shared" si="1"/>
        <v>0</v>
      </c>
      <c r="I20">
        <f t="array" ref="I20">MIN(IF(A:A=A20,D:D))</f>
        <v>6</v>
      </c>
    </row>
    <row r="21" spans="1:9" x14ac:dyDescent="0.2">
      <c r="A21" t="s">
        <v>29</v>
      </c>
      <c r="B21" t="s">
        <v>10</v>
      </c>
      <c r="C21">
        <v>0</v>
      </c>
      <c r="D21">
        <v>2</v>
      </c>
      <c r="E21">
        <v>3.7355881000000001E-2</v>
      </c>
      <c r="F21">
        <v>2.8741900000000002E-4</v>
      </c>
      <c r="G21">
        <f t="shared" si="0"/>
        <v>1</v>
      </c>
      <c r="H21">
        <f t="shared" si="1"/>
        <v>0</v>
      </c>
      <c r="I21">
        <f t="array" ref="I21">MIN(IF(A:A=A21,D:D))</f>
        <v>2</v>
      </c>
    </row>
    <row r="22" spans="1:9" x14ac:dyDescent="0.2">
      <c r="A22" t="s">
        <v>30</v>
      </c>
      <c r="B22" t="s">
        <v>10</v>
      </c>
      <c r="C22">
        <v>0</v>
      </c>
      <c r="D22">
        <v>4</v>
      </c>
      <c r="E22">
        <v>1.9428032000000001E-2</v>
      </c>
      <c r="F22">
        <v>3.0017000000000001E-5</v>
      </c>
      <c r="G22">
        <f t="shared" si="0"/>
        <v>1</v>
      </c>
      <c r="H22">
        <f t="shared" si="1"/>
        <v>0</v>
      </c>
      <c r="I22">
        <f t="array" ref="I22">MIN(IF(A:A=A22,D:D))</f>
        <v>4</v>
      </c>
    </row>
    <row r="23" spans="1:9" x14ac:dyDescent="0.2">
      <c r="A23" t="s">
        <v>31</v>
      </c>
      <c r="B23" t="s">
        <v>10</v>
      </c>
      <c r="C23">
        <v>0</v>
      </c>
      <c r="D23">
        <v>3</v>
      </c>
      <c r="E23">
        <v>1.8780178000000002E-2</v>
      </c>
      <c r="F23">
        <v>4.3742000000000002E-5</v>
      </c>
      <c r="G23">
        <f t="shared" si="0"/>
        <v>1</v>
      </c>
      <c r="H23">
        <f t="shared" si="1"/>
        <v>0</v>
      </c>
      <c r="I23">
        <f t="array" ref="I23">MIN(IF(A:A=A23,D:D))</f>
        <v>3</v>
      </c>
    </row>
    <row r="24" spans="1:9" x14ac:dyDescent="0.2">
      <c r="A24" t="s">
        <v>32</v>
      </c>
      <c r="B24" t="s">
        <v>10</v>
      </c>
      <c r="C24">
        <v>0</v>
      </c>
      <c r="D24">
        <v>4</v>
      </c>
      <c r="E24">
        <v>5.4489331000000002E-2</v>
      </c>
      <c r="F24">
        <v>2.2994619999999999E-3</v>
      </c>
      <c r="G24">
        <f t="shared" si="0"/>
        <v>1</v>
      </c>
      <c r="H24">
        <f t="shared" si="1"/>
        <v>0</v>
      </c>
      <c r="I24">
        <f t="array" ref="I24">MIN(IF(A:A=A24,D:D))</f>
        <v>4</v>
      </c>
    </row>
    <row r="25" spans="1:9" x14ac:dyDescent="0.2">
      <c r="A25" t="s">
        <v>33</v>
      </c>
      <c r="B25" t="s">
        <v>10</v>
      </c>
      <c r="C25">
        <v>0</v>
      </c>
      <c r="D25">
        <v>2</v>
      </c>
      <c r="E25">
        <v>5.4593970000000004E-3</v>
      </c>
      <c r="F25">
        <v>5.2986159999999999E-3</v>
      </c>
      <c r="G25">
        <f t="shared" si="0"/>
        <v>1</v>
      </c>
      <c r="H25">
        <f t="shared" si="1"/>
        <v>0</v>
      </c>
      <c r="I25">
        <f t="array" ref="I25">MIN(IF(A:A=A25,D:D))</f>
        <v>2</v>
      </c>
    </row>
    <row r="26" spans="1:9" x14ac:dyDescent="0.2">
      <c r="A26" t="s">
        <v>34</v>
      </c>
      <c r="B26" t="s">
        <v>10</v>
      </c>
      <c r="C26">
        <v>0</v>
      </c>
      <c r="D26">
        <v>2</v>
      </c>
      <c r="E26">
        <v>5.8794859999999997E-3</v>
      </c>
      <c r="F26">
        <v>1.8264E-5</v>
      </c>
      <c r="G26">
        <f t="shared" si="0"/>
        <v>1</v>
      </c>
      <c r="H26">
        <f t="shared" si="1"/>
        <v>0</v>
      </c>
      <c r="I26">
        <f t="array" ref="I26">MIN(IF(A:A=A26,D:D))</f>
        <v>2</v>
      </c>
    </row>
    <row r="27" spans="1:9" x14ac:dyDescent="0.2">
      <c r="A27" t="s">
        <v>35</v>
      </c>
      <c r="B27" t="s">
        <v>10</v>
      </c>
      <c r="C27">
        <v>0</v>
      </c>
      <c r="D27">
        <v>1</v>
      </c>
      <c r="E27">
        <v>5.4241610000000003E-3</v>
      </c>
      <c r="F27">
        <v>2.1169999999999999E-5</v>
      </c>
      <c r="G27">
        <f t="shared" si="0"/>
        <v>1</v>
      </c>
      <c r="H27">
        <f t="shared" si="1"/>
        <v>0</v>
      </c>
      <c r="I27">
        <f t="array" ref="I27">MIN(IF(A:A=A27,D:D))</f>
        <v>1</v>
      </c>
    </row>
    <row r="28" spans="1:9" x14ac:dyDescent="0.2">
      <c r="A28" t="s">
        <v>36</v>
      </c>
      <c r="B28" t="s">
        <v>10</v>
      </c>
      <c r="C28">
        <v>0</v>
      </c>
      <c r="D28">
        <v>2</v>
      </c>
      <c r="E28">
        <v>1.2838887E-2</v>
      </c>
      <c r="F28">
        <v>1.9485999999999999E-5</v>
      </c>
      <c r="G28">
        <f t="shared" si="0"/>
        <v>1</v>
      </c>
      <c r="H28">
        <f t="shared" si="1"/>
        <v>0</v>
      </c>
      <c r="I28">
        <f t="array" ref="I28">MIN(IF(A:A=A28,D:D))</f>
        <v>2</v>
      </c>
    </row>
    <row r="29" spans="1:9" x14ac:dyDescent="0.2">
      <c r="A29" t="s">
        <v>37</v>
      </c>
      <c r="B29" t="s">
        <v>10</v>
      </c>
      <c r="C29">
        <v>0</v>
      </c>
      <c r="D29">
        <v>2</v>
      </c>
      <c r="E29">
        <v>1.6371650000000001E-2</v>
      </c>
      <c r="F29">
        <v>2.9049969999999999E-3</v>
      </c>
      <c r="G29">
        <f t="shared" si="0"/>
        <v>1</v>
      </c>
      <c r="H29">
        <f t="shared" si="1"/>
        <v>0</v>
      </c>
      <c r="I29">
        <f t="array" ref="I29">MIN(IF(A:A=A29,D:D))</f>
        <v>2</v>
      </c>
    </row>
    <row r="30" spans="1:9" x14ac:dyDescent="0.2">
      <c r="A30" t="s">
        <v>38</v>
      </c>
      <c r="B30" t="s">
        <v>10</v>
      </c>
      <c r="C30">
        <v>0</v>
      </c>
      <c r="D30">
        <v>1</v>
      </c>
      <c r="E30">
        <v>8.2771909999999997E-3</v>
      </c>
      <c r="F30">
        <v>2.8532999999999999E-5</v>
      </c>
      <c r="G30">
        <f t="shared" si="0"/>
        <v>1</v>
      </c>
      <c r="H30">
        <f t="shared" si="1"/>
        <v>0</v>
      </c>
      <c r="I30">
        <f t="array" ref="I30">MIN(IF(A:A=A30,D:D))</f>
        <v>1</v>
      </c>
    </row>
    <row r="31" spans="1:9" x14ac:dyDescent="0.2">
      <c r="A31" t="s">
        <v>39</v>
      </c>
      <c r="B31" t="s">
        <v>10</v>
      </c>
      <c r="C31">
        <v>0</v>
      </c>
      <c r="D31">
        <v>2</v>
      </c>
      <c r="E31">
        <v>3.1458622999999998E-2</v>
      </c>
      <c r="F31">
        <v>2.881172E-3</v>
      </c>
      <c r="G31">
        <f t="shared" si="0"/>
        <v>1</v>
      </c>
      <c r="H31">
        <f t="shared" si="1"/>
        <v>0</v>
      </c>
      <c r="I31">
        <f t="array" ref="I31">MIN(IF(A:A=A31,D:D))</f>
        <v>2</v>
      </c>
    </row>
    <row r="32" spans="1:9" x14ac:dyDescent="0.2">
      <c r="A32" t="s">
        <v>40</v>
      </c>
      <c r="B32" t="s">
        <v>10</v>
      </c>
      <c r="C32">
        <v>0</v>
      </c>
      <c r="D32">
        <v>3</v>
      </c>
      <c r="E32">
        <v>4.0989365E-2</v>
      </c>
      <c r="F32">
        <v>3.7984299999999999E-4</v>
      </c>
      <c r="G32">
        <f t="shared" si="0"/>
        <v>1</v>
      </c>
      <c r="H32">
        <f t="shared" si="1"/>
        <v>0</v>
      </c>
      <c r="I32">
        <f t="array" ref="I32">MIN(IF(A:A=A32,D:D))</f>
        <v>3</v>
      </c>
    </row>
    <row r="33" spans="1:9" x14ac:dyDescent="0.2">
      <c r="A33" t="s">
        <v>41</v>
      </c>
      <c r="B33" t="s">
        <v>10</v>
      </c>
      <c r="C33">
        <v>0</v>
      </c>
      <c r="D33">
        <v>1</v>
      </c>
      <c r="E33">
        <v>3.3727578000000001E-2</v>
      </c>
      <c r="F33">
        <v>9.6721399999999999E-4</v>
      </c>
      <c r="G33">
        <f t="shared" si="0"/>
        <v>1</v>
      </c>
      <c r="H33">
        <f t="shared" si="1"/>
        <v>0</v>
      </c>
      <c r="I33">
        <f t="array" ref="I33">MIN(IF(A:A=A33,D:D))</f>
        <v>1</v>
      </c>
    </row>
    <row r="34" spans="1:9" x14ac:dyDescent="0.2">
      <c r="A34" t="s">
        <v>42</v>
      </c>
      <c r="B34" t="s">
        <v>10</v>
      </c>
      <c r="C34">
        <v>0</v>
      </c>
      <c r="D34">
        <v>1</v>
      </c>
      <c r="E34">
        <v>9.7831250000000002E-3</v>
      </c>
      <c r="F34">
        <v>2.4324999999999998E-5</v>
      </c>
      <c r="G34">
        <f t="shared" si="0"/>
        <v>1</v>
      </c>
      <c r="H34">
        <f t="shared" si="1"/>
        <v>0</v>
      </c>
      <c r="I34">
        <f t="array" ref="I34">MIN(IF(A:A=A34,D:D))</f>
        <v>1</v>
      </c>
    </row>
    <row r="35" spans="1:9" x14ac:dyDescent="0.2">
      <c r="A35" t="s">
        <v>43</v>
      </c>
      <c r="B35" t="s">
        <v>10</v>
      </c>
      <c r="C35">
        <v>0</v>
      </c>
      <c r="D35">
        <v>1</v>
      </c>
      <c r="E35">
        <v>1.5775022999999999E-2</v>
      </c>
      <c r="F35">
        <v>4.0126000000000002E-5</v>
      </c>
      <c r="G35">
        <f t="shared" si="0"/>
        <v>1</v>
      </c>
      <c r="H35">
        <f t="shared" si="1"/>
        <v>0</v>
      </c>
      <c r="I35">
        <f t="array" ref="I35">MIN(IF(A:A=A35,D:D))</f>
        <v>1</v>
      </c>
    </row>
    <row r="36" spans="1:9" x14ac:dyDescent="0.2">
      <c r="A36" t="s">
        <v>44</v>
      </c>
      <c r="B36" t="s">
        <v>10</v>
      </c>
      <c r="C36">
        <v>0</v>
      </c>
      <c r="D36">
        <v>1</v>
      </c>
      <c r="E36">
        <v>2.4819352999999999E-2</v>
      </c>
      <c r="F36">
        <v>5.0605000000000001E-5</v>
      </c>
      <c r="G36">
        <f t="shared" si="0"/>
        <v>1</v>
      </c>
      <c r="H36">
        <f t="shared" si="1"/>
        <v>0</v>
      </c>
      <c r="I36">
        <f t="array" ref="I36">MIN(IF(A:A=A36,D:D))</f>
        <v>1</v>
      </c>
    </row>
    <row r="37" spans="1:9" x14ac:dyDescent="0.2">
      <c r="A37" t="s">
        <v>45</v>
      </c>
      <c r="B37" t="s">
        <v>10</v>
      </c>
      <c r="C37">
        <v>0</v>
      </c>
      <c r="D37">
        <v>2</v>
      </c>
      <c r="E37">
        <v>1.2028046000000001E-2</v>
      </c>
      <c r="F37">
        <v>9.1201100000000001E-4</v>
      </c>
      <c r="G37">
        <f t="shared" si="0"/>
        <v>1</v>
      </c>
      <c r="H37">
        <f t="shared" si="1"/>
        <v>0</v>
      </c>
      <c r="I37">
        <f t="array" ref="I37">MIN(IF(A:A=A37,D:D))</f>
        <v>2</v>
      </c>
    </row>
    <row r="38" spans="1:9" x14ac:dyDescent="0.2">
      <c r="A38" t="s">
        <v>46</v>
      </c>
      <c r="B38" t="s">
        <v>10</v>
      </c>
      <c r="C38">
        <v>0</v>
      </c>
      <c r="D38">
        <v>1</v>
      </c>
      <c r="E38">
        <v>6.2003279999999997E-3</v>
      </c>
      <c r="F38">
        <v>1.13713E-4</v>
      </c>
      <c r="G38">
        <f t="shared" si="0"/>
        <v>1</v>
      </c>
      <c r="H38">
        <f t="shared" si="1"/>
        <v>0</v>
      </c>
      <c r="I38">
        <f t="array" ref="I38">MIN(IF(A:A=A38,D:D))</f>
        <v>1</v>
      </c>
    </row>
    <row r="39" spans="1:9" x14ac:dyDescent="0.2">
      <c r="A39" t="s">
        <v>47</v>
      </c>
      <c r="B39" t="s">
        <v>10</v>
      </c>
      <c r="C39">
        <v>0</v>
      </c>
      <c r="D39">
        <v>2</v>
      </c>
      <c r="E39">
        <v>1.4043363999999999E-2</v>
      </c>
      <c r="F39">
        <v>3.3692999999999997E-5</v>
      </c>
      <c r="G39">
        <f t="shared" si="0"/>
        <v>1</v>
      </c>
      <c r="H39">
        <f t="shared" si="1"/>
        <v>0</v>
      </c>
      <c r="I39">
        <f t="array" ref="I39">MIN(IF(A:A=A39,D:D))</f>
        <v>2</v>
      </c>
    </row>
    <row r="40" spans="1:9" x14ac:dyDescent="0.2">
      <c r="A40" t="s">
        <v>48</v>
      </c>
      <c r="B40" t="s">
        <v>10</v>
      </c>
      <c r="C40">
        <v>0</v>
      </c>
      <c r="D40">
        <v>2</v>
      </c>
      <c r="E40">
        <v>3.7328500000000001E-2</v>
      </c>
      <c r="F40">
        <v>3.1130480000000002E-3</v>
      </c>
      <c r="G40">
        <f t="shared" si="0"/>
        <v>1</v>
      </c>
      <c r="H40">
        <f t="shared" si="1"/>
        <v>0</v>
      </c>
      <c r="I40">
        <f t="array" ref="I40">MIN(IF(A:A=A40,D:D))</f>
        <v>2</v>
      </c>
    </row>
    <row r="41" spans="1:9" x14ac:dyDescent="0.2">
      <c r="A41" t="s">
        <v>49</v>
      </c>
      <c r="B41" t="s">
        <v>10</v>
      </c>
      <c r="C41">
        <v>0</v>
      </c>
      <c r="D41">
        <v>2</v>
      </c>
      <c r="E41">
        <v>2.1022281E-2</v>
      </c>
      <c r="F41">
        <v>1.42337E-4</v>
      </c>
      <c r="G41">
        <f t="shared" si="0"/>
        <v>1</v>
      </c>
      <c r="H41">
        <f t="shared" si="1"/>
        <v>0</v>
      </c>
      <c r="I41">
        <f t="array" ref="I41">MIN(IF(A:A=A41,D:D))</f>
        <v>2</v>
      </c>
    </row>
    <row r="42" spans="1:9" x14ac:dyDescent="0.2">
      <c r="A42" t="s">
        <v>50</v>
      </c>
      <c r="B42" t="s">
        <v>10</v>
      </c>
      <c r="C42">
        <v>0</v>
      </c>
      <c r="D42">
        <v>2</v>
      </c>
      <c r="E42">
        <v>1.5541074E-2</v>
      </c>
      <c r="F42">
        <v>5.5213999999999997E-5</v>
      </c>
      <c r="G42">
        <f t="shared" si="0"/>
        <v>1</v>
      </c>
      <c r="H42">
        <f t="shared" si="1"/>
        <v>0</v>
      </c>
      <c r="I42">
        <f t="array" ref="I42">MIN(IF(A:A=A42,D:D))</f>
        <v>2</v>
      </c>
    </row>
    <row r="43" spans="1:9" x14ac:dyDescent="0.2">
      <c r="A43" t="s">
        <v>51</v>
      </c>
      <c r="B43" t="s">
        <v>10</v>
      </c>
      <c r="C43">
        <v>0</v>
      </c>
      <c r="D43">
        <v>3</v>
      </c>
      <c r="E43">
        <v>2.2313482999999999E-2</v>
      </c>
      <c r="F43">
        <v>3.3751199999999999E-4</v>
      </c>
      <c r="G43">
        <f t="shared" si="0"/>
        <v>1</v>
      </c>
      <c r="H43">
        <f t="shared" si="1"/>
        <v>0</v>
      </c>
      <c r="I43">
        <f t="array" ref="I43">MIN(IF(A:A=A43,D:D))</f>
        <v>3</v>
      </c>
    </row>
    <row r="44" spans="1:9" x14ac:dyDescent="0.2">
      <c r="A44" t="s">
        <v>52</v>
      </c>
      <c r="B44" t="s">
        <v>10</v>
      </c>
      <c r="C44">
        <v>0</v>
      </c>
      <c r="D44">
        <v>4</v>
      </c>
      <c r="E44">
        <v>3.3621969000000002E-2</v>
      </c>
      <c r="F44">
        <v>1.03163E-4</v>
      </c>
      <c r="G44">
        <f t="shared" si="0"/>
        <v>1</v>
      </c>
      <c r="H44">
        <f t="shared" si="1"/>
        <v>0</v>
      </c>
      <c r="I44">
        <f t="array" ref="I44">MIN(IF(A:A=A44,D:D))</f>
        <v>4</v>
      </c>
    </row>
    <row r="45" spans="1:9" x14ac:dyDescent="0.2">
      <c r="A45" t="s">
        <v>53</v>
      </c>
      <c r="B45" t="s">
        <v>10</v>
      </c>
      <c r="C45">
        <v>0</v>
      </c>
      <c r="D45">
        <v>2</v>
      </c>
      <c r="E45">
        <v>4.5572260000000002E-3</v>
      </c>
      <c r="F45">
        <v>3.3453E-5</v>
      </c>
      <c r="G45">
        <f t="shared" si="0"/>
        <v>1</v>
      </c>
      <c r="H45">
        <f t="shared" si="1"/>
        <v>0</v>
      </c>
      <c r="I45">
        <f t="array" ref="I45">MIN(IF(A:A=A45,D:D))</f>
        <v>2</v>
      </c>
    </row>
    <row r="46" spans="1:9" x14ac:dyDescent="0.2">
      <c r="A46" t="s">
        <v>54</v>
      </c>
      <c r="B46" t="s">
        <v>10</v>
      </c>
      <c r="C46">
        <v>0</v>
      </c>
      <c r="D46">
        <v>2</v>
      </c>
      <c r="E46">
        <v>6.5327500000000004E-3</v>
      </c>
      <c r="F46">
        <v>3.2320999999999998E-5</v>
      </c>
      <c r="G46">
        <f t="shared" si="0"/>
        <v>1</v>
      </c>
      <c r="H46">
        <f t="shared" si="1"/>
        <v>0</v>
      </c>
      <c r="I46">
        <f t="array" ref="I46">MIN(IF(A:A=A46,D:D))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93ED-24AE-4B06-8BDD-45CEC1B3AA87}">
  <dimension ref="A1:Y57"/>
  <sheetViews>
    <sheetView tabSelected="1" zoomScale="60" zoomScaleNormal="60" workbookViewId="0">
      <selection activeCell="O63" sqref="O63"/>
    </sheetView>
  </sheetViews>
  <sheetFormatPr baseColWidth="10" defaultRowHeight="15" x14ac:dyDescent="0.2"/>
  <cols>
    <col min="1" max="1" width="20.5" customWidth="1"/>
    <col min="20" max="20" width="15.6640625" customWidth="1"/>
    <col min="21" max="21" width="8.5" customWidth="1"/>
    <col min="25" max="25" width="31.83203125" customWidth="1"/>
  </cols>
  <sheetData>
    <row r="1" spans="1:25" x14ac:dyDescent="0.2">
      <c r="G1" s="33" t="s">
        <v>59</v>
      </c>
      <c r="H1" s="34"/>
      <c r="I1" s="35"/>
      <c r="J1" s="33" t="s">
        <v>60</v>
      </c>
      <c r="K1" s="34"/>
      <c r="L1" s="35"/>
      <c r="M1" s="33" t="s">
        <v>61</v>
      </c>
      <c r="N1" s="34"/>
      <c r="O1" s="35"/>
      <c r="P1" s="36" t="s">
        <v>62</v>
      </c>
      <c r="Q1" s="37"/>
      <c r="R1" s="38"/>
      <c r="S1" s="39" t="s">
        <v>63</v>
      </c>
      <c r="T1" s="40"/>
      <c r="U1" s="3"/>
    </row>
    <row r="2" spans="1:25" ht="16" thickBot="1" x14ac:dyDescent="0.25">
      <c r="A2" s="4" t="s">
        <v>64</v>
      </c>
      <c r="B2" s="4" t="s">
        <v>65</v>
      </c>
      <c r="C2" s="4" t="s">
        <v>66</v>
      </c>
      <c r="D2" s="4" t="s">
        <v>67</v>
      </c>
      <c r="E2" s="4" t="s">
        <v>68</v>
      </c>
      <c r="F2" s="4" t="s">
        <v>69</v>
      </c>
      <c r="G2" s="5" t="s">
        <v>70</v>
      </c>
      <c r="H2" s="6"/>
      <c r="I2" s="7" t="s">
        <v>71</v>
      </c>
      <c r="J2" s="5" t="s">
        <v>70</v>
      </c>
      <c r="K2" s="6"/>
      <c r="L2" s="7" t="s">
        <v>71</v>
      </c>
      <c r="M2" s="5" t="s">
        <v>70</v>
      </c>
      <c r="N2" s="6"/>
      <c r="O2" s="7" t="s">
        <v>71</v>
      </c>
      <c r="P2" s="8" t="s">
        <v>70</v>
      </c>
      <c r="Q2" s="9" t="s">
        <v>71</v>
      </c>
      <c r="R2" s="10" t="s">
        <v>72</v>
      </c>
      <c r="S2" s="8" t="s">
        <v>70</v>
      </c>
      <c r="T2" s="9" t="s">
        <v>71</v>
      </c>
      <c r="U2" s="10" t="s">
        <v>72</v>
      </c>
    </row>
    <row r="3" spans="1:25" x14ac:dyDescent="0.2">
      <c r="A3" s="11" t="s">
        <v>73</v>
      </c>
      <c r="B3" s="12">
        <v>6</v>
      </c>
      <c r="C3" s="12">
        <v>7</v>
      </c>
      <c r="D3" s="12">
        <v>1</v>
      </c>
      <c r="E3" s="12">
        <v>3</v>
      </c>
      <c r="F3" s="12">
        <f>MIN(G3,J3,M3,P3,S3)</f>
        <v>1</v>
      </c>
      <c r="G3" s="13">
        <v>1</v>
      </c>
      <c r="H3">
        <f>(G3-$F3)/$F3</f>
        <v>0</v>
      </c>
      <c r="I3" s="14">
        <v>0.14799999999999999</v>
      </c>
      <c r="J3" s="13">
        <v>1</v>
      </c>
      <c r="K3">
        <f>(J3-$F3)/$F3</f>
        <v>0</v>
      </c>
      <c r="L3" s="14">
        <v>0.17799999999999999</v>
      </c>
      <c r="M3" s="13">
        <v>1</v>
      </c>
      <c r="N3">
        <f>(M3-$F3)/$F3</f>
        <v>0</v>
      </c>
      <c r="O3" s="14">
        <v>0.2</v>
      </c>
      <c r="P3" s="13">
        <v>2</v>
      </c>
      <c r="Q3">
        <v>0.108</v>
      </c>
      <c r="R3" s="15">
        <f>(P3-$F3)/$F3</f>
        <v>1</v>
      </c>
      <c r="S3" s="13">
        <v>1</v>
      </c>
      <c r="T3">
        <v>5.4241610000000003E-3</v>
      </c>
      <c r="U3" s="15">
        <f>(S3-$F3)/$F3</f>
        <v>0</v>
      </c>
      <c r="Y3" s="2"/>
    </row>
    <row r="4" spans="1:25" x14ac:dyDescent="0.2">
      <c r="A4" s="16" t="s">
        <v>74</v>
      </c>
      <c r="B4" s="17">
        <v>9</v>
      </c>
      <c r="C4" s="17">
        <v>12</v>
      </c>
      <c r="D4" s="17">
        <v>1</v>
      </c>
      <c r="E4" s="17">
        <v>4</v>
      </c>
      <c r="F4" s="17">
        <f t="shared" ref="F4:F47" si="0">MIN(G4,J4,M4,P4,S4)</f>
        <v>1</v>
      </c>
      <c r="G4" s="16">
        <v>1</v>
      </c>
      <c r="H4" s="17">
        <f t="shared" ref="H4:H47" si="1">(G4-$F4)/$F4</f>
        <v>0</v>
      </c>
      <c r="I4" s="18">
        <v>0.221</v>
      </c>
      <c r="J4" s="16">
        <v>1</v>
      </c>
      <c r="K4" s="17">
        <f t="shared" ref="K4:K47" si="2">(J4-$F4)/$F4</f>
        <v>0</v>
      </c>
      <c r="L4" s="18">
        <v>0.156</v>
      </c>
      <c r="M4" s="16">
        <v>1</v>
      </c>
      <c r="N4" s="17">
        <f t="shared" ref="N4:N47" si="3">(M4-$F4)/$F4</f>
        <v>0</v>
      </c>
      <c r="O4" s="18">
        <v>0.25700000000000001</v>
      </c>
      <c r="P4" s="13">
        <v>2</v>
      </c>
      <c r="Q4">
        <v>0.379</v>
      </c>
      <c r="R4" s="15">
        <f t="shared" ref="R4:R47" si="4">(P4-$F4)/$F4</f>
        <v>1</v>
      </c>
      <c r="S4" s="13">
        <v>1</v>
      </c>
      <c r="T4">
        <v>8.2771909999999997E-3</v>
      </c>
      <c r="U4" s="15">
        <f t="shared" ref="U4:U47" si="5">(S4-$F4)/$F4</f>
        <v>0</v>
      </c>
      <c r="Y4" s="2"/>
    </row>
    <row r="5" spans="1:25" x14ac:dyDescent="0.2">
      <c r="A5" s="13" t="s">
        <v>75</v>
      </c>
      <c r="B5">
        <v>20</v>
      </c>
      <c r="C5">
        <v>31</v>
      </c>
      <c r="D5">
        <v>1</v>
      </c>
      <c r="E5">
        <v>6</v>
      </c>
      <c r="F5">
        <f t="shared" si="0"/>
        <v>1</v>
      </c>
      <c r="G5" s="13">
        <v>1</v>
      </c>
      <c r="H5">
        <f t="shared" si="1"/>
        <v>0</v>
      </c>
      <c r="I5" s="14">
        <v>0.53600000000000003</v>
      </c>
      <c r="J5" s="13">
        <v>1</v>
      </c>
      <c r="K5">
        <f t="shared" si="2"/>
        <v>0</v>
      </c>
      <c r="L5" s="14">
        <v>0.32800000000000001</v>
      </c>
      <c r="M5" s="13">
        <v>1</v>
      </c>
      <c r="N5">
        <f t="shared" si="3"/>
        <v>0</v>
      </c>
      <c r="O5" s="14">
        <v>0.22</v>
      </c>
      <c r="P5" s="13">
        <v>2</v>
      </c>
      <c r="Q5">
        <v>7.8410000000000002</v>
      </c>
      <c r="R5" s="15">
        <f t="shared" si="4"/>
        <v>1</v>
      </c>
      <c r="S5" s="13">
        <v>1</v>
      </c>
      <c r="T5">
        <v>3.3727578000000001E-2</v>
      </c>
      <c r="U5" s="15">
        <f t="shared" si="5"/>
        <v>0</v>
      </c>
      <c r="Y5" s="2"/>
    </row>
    <row r="6" spans="1:25" x14ac:dyDescent="0.2">
      <c r="A6" s="16" t="s">
        <v>76</v>
      </c>
      <c r="B6" s="17">
        <v>6</v>
      </c>
      <c r="C6" s="17">
        <v>9</v>
      </c>
      <c r="D6" s="17">
        <v>2</v>
      </c>
      <c r="E6" s="17">
        <v>3</v>
      </c>
      <c r="F6" s="17">
        <f t="shared" si="0"/>
        <v>2</v>
      </c>
      <c r="G6" s="16">
        <v>2</v>
      </c>
      <c r="H6" s="17">
        <f t="shared" si="1"/>
        <v>0</v>
      </c>
      <c r="I6" s="18">
        <v>0.187</v>
      </c>
      <c r="J6" s="16">
        <v>2</v>
      </c>
      <c r="K6" s="17">
        <f t="shared" si="2"/>
        <v>0</v>
      </c>
      <c r="L6" s="18">
        <v>0.15</v>
      </c>
      <c r="M6" s="16">
        <v>2</v>
      </c>
      <c r="N6" s="17">
        <f t="shared" si="3"/>
        <v>0</v>
      </c>
      <c r="O6" s="18">
        <v>0.24299999999999999</v>
      </c>
      <c r="P6" s="13">
        <v>2</v>
      </c>
      <c r="Q6">
        <v>0.161</v>
      </c>
      <c r="R6" s="15">
        <f t="shared" si="4"/>
        <v>0</v>
      </c>
      <c r="S6" s="13">
        <v>2</v>
      </c>
      <c r="T6">
        <v>5.8794859999999997E-3</v>
      </c>
      <c r="U6" s="15">
        <f t="shared" si="5"/>
        <v>0</v>
      </c>
      <c r="Y6" s="2"/>
    </row>
    <row r="7" spans="1:25" x14ac:dyDescent="0.2">
      <c r="A7" s="13" t="s">
        <v>77</v>
      </c>
      <c r="B7">
        <v>9</v>
      </c>
      <c r="C7">
        <v>15</v>
      </c>
      <c r="D7">
        <v>2</v>
      </c>
      <c r="E7">
        <v>4</v>
      </c>
      <c r="F7">
        <f t="shared" si="0"/>
        <v>2</v>
      </c>
      <c r="G7" s="13">
        <v>2</v>
      </c>
      <c r="H7">
        <f t="shared" si="1"/>
        <v>0</v>
      </c>
      <c r="I7" s="14">
        <v>0.17499999999999999</v>
      </c>
      <c r="J7" s="13">
        <v>2</v>
      </c>
      <c r="K7">
        <f t="shared" si="2"/>
        <v>0</v>
      </c>
      <c r="L7" s="14">
        <v>0.19</v>
      </c>
      <c r="M7" s="13">
        <v>2</v>
      </c>
      <c r="N7">
        <f t="shared" si="3"/>
        <v>0</v>
      </c>
      <c r="O7" s="14">
        <v>0.19800000000000001</v>
      </c>
      <c r="P7" s="13">
        <v>2</v>
      </c>
      <c r="Q7">
        <v>0.53500000000000003</v>
      </c>
      <c r="R7" s="15">
        <f t="shared" si="4"/>
        <v>0</v>
      </c>
      <c r="S7" s="13">
        <v>2</v>
      </c>
      <c r="T7">
        <v>1.2838887E-2</v>
      </c>
      <c r="U7" s="15">
        <f t="shared" si="5"/>
        <v>0</v>
      </c>
      <c r="Y7" s="2"/>
    </row>
    <row r="8" spans="1:25" x14ac:dyDescent="0.2">
      <c r="A8" s="16" t="s">
        <v>78</v>
      </c>
      <c r="B8" s="17">
        <v>20</v>
      </c>
      <c r="C8" s="17">
        <v>35</v>
      </c>
      <c r="D8" s="17">
        <v>2</v>
      </c>
      <c r="E8" s="17">
        <v>6</v>
      </c>
      <c r="F8" s="17">
        <f t="shared" si="0"/>
        <v>2</v>
      </c>
      <c r="G8" s="16">
        <v>2</v>
      </c>
      <c r="H8" s="17">
        <f t="shared" si="1"/>
        <v>0</v>
      </c>
      <c r="I8" s="18">
        <v>0.4</v>
      </c>
      <c r="J8" s="16">
        <v>2</v>
      </c>
      <c r="K8" s="17">
        <f t="shared" si="2"/>
        <v>0</v>
      </c>
      <c r="L8" s="18">
        <v>0.44600000000000001</v>
      </c>
      <c r="M8" s="16">
        <v>2</v>
      </c>
      <c r="N8" s="17">
        <f t="shared" si="3"/>
        <v>0</v>
      </c>
      <c r="O8" s="18">
        <v>0.52600000000000002</v>
      </c>
      <c r="P8" s="13">
        <v>3</v>
      </c>
      <c r="Q8">
        <v>7.5469999999999997</v>
      </c>
      <c r="R8" s="15">
        <f t="shared" si="4"/>
        <v>0.5</v>
      </c>
      <c r="S8" s="13">
        <v>2</v>
      </c>
      <c r="T8">
        <v>3.1458622999999998E-2</v>
      </c>
      <c r="U8" s="15">
        <f t="shared" si="5"/>
        <v>0</v>
      </c>
      <c r="Y8" s="2"/>
    </row>
    <row r="9" spans="1:25" x14ac:dyDescent="0.2">
      <c r="A9" s="13" t="s">
        <v>79</v>
      </c>
      <c r="B9">
        <v>9</v>
      </c>
      <c r="C9">
        <v>18</v>
      </c>
      <c r="D9">
        <v>2</v>
      </c>
      <c r="E9">
        <v>4</v>
      </c>
      <c r="F9">
        <f t="shared" si="0"/>
        <v>2</v>
      </c>
      <c r="G9" s="13">
        <v>2</v>
      </c>
      <c r="H9">
        <f t="shared" si="1"/>
        <v>0</v>
      </c>
      <c r="I9" s="14">
        <v>0.16800000000000001</v>
      </c>
      <c r="J9" s="13">
        <v>2</v>
      </c>
      <c r="K9">
        <f t="shared" si="2"/>
        <v>0</v>
      </c>
      <c r="L9" s="14">
        <v>0.183</v>
      </c>
      <c r="M9" s="13">
        <v>2</v>
      </c>
      <c r="N9">
        <f t="shared" si="3"/>
        <v>0</v>
      </c>
      <c r="O9" s="14">
        <v>0.23599999999999999</v>
      </c>
      <c r="P9" s="13">
        <v>2</v>
      </c>
      <c r="Q9">
        <v>0.82499999999999996</v>
      </c>
      <c r="R9" s="15">
        <f t="shared" si="4"/>
        <v>0</v>
      </c>
      <c r="S9" s="13">
        <v>2</v>
      </c>
      <c r="T9">
        <v>2.4190894000000001E-2</v>
      </c>
      <c r="U9" s="15">
        <f t="shared" si="5"/>
        <v>0</v>
      </c>
      <c r="Y9" s="2"/>
    </row>
    <row r="10" spans="1:25" x14ac:dyDescent="0.2">
      <c r="A10" s="16" t="s">
        <v>80</v>
      </c>
      <c r="B10" s="17">
        <v>12</v>
      </c>
      <c r="C10" s="17">
        <v>24</v>
      </c>
      <c r="D10" s="17">
        <v>2</v>
      </c>
      <c r="E10" s="17">
        <v>4</v>
      </c>
      <c r="F10" s="17">
        <f t="shared" si="0"/>
        <v>2</v>
      </c>
      <c r="G10" s="16">
        <v>2</v>
      </c>
      <c r="H10" s="17">
        <f t="shared" si="1"/>
        <v>0</v>
      </c>
      <c r="I10" s="18">
        <v>0.17899999999999999</v>
      </c>
      <c r="J10" s="16">
        <v>2</v>
      </c>
      <c r="K10" s="17">
        <f t="shared" si="2"/>
        <v>0</v>
      </c>
      <c r="L10" s="18">
        <v>0.186</v>
      </c>
      <c r="M10" s="16">
        <v>2</v>
      </c>
      <c r="N10" s="17">
        <f t="shared" si="3"/>
        <v>0</v>
      </c>
      <c r="O10" s="18">
        <v>0.28299999999999997</v>
      </c>
      <c r="P10" s="13">
        <v>2</v>
      </c>
      <c r="Q10">
        <v>2.1309999999999998</v>
      </c>
      <c r="R10" s="15">
        <f t="shared" si="4"/>
        <v>0</v>
      </c>
      <c r="S10" s="13">
        <v>2</v>
      </c>
      <c r="T10">
        <v>2.7261191000000001E-2</v>
      </c>
      <c r="U10" s="15">
        <f t="shared" si="5"/>
        <v>0</v>
      </c>
      <c r="Y10" s="2"/>
    </row>
    <row r="11" spans="1:25" x14ac:dyDescent="0.2">
      <c r="A11" s="13" t="s">
        <v>81</v>
      </c>
      <c r="B11">
        <v>20</v>
      </c>
      <c r="C11">
        <v>40</v>
      </c>
      <c r="D11">
        <v>2</v>
      </c>
      <c r="E11">
        <v>6</v>
      </c>
      <c r="F11">
        <f t="shared" si="0"/>
        <v>2</v>
      </c>
      <c r="G11" s="13">
        <v>2</v>
      </c>
      <c r="H11">
        <f t="shared" si="1"/>
        <v>0</v>
      </c>
      <c r="I11" s="14">
        <v>0.309</v>
      </c>
      <c r="J11" s="13">
        <v>2</v>
      </c>
      <c r="K11">
        <f t="shared" si="2"/>
        <v>0</v>
      </c>
      <c r="L11" s="14">
        <v>0.28499999999999998</v>
      </c>
      <c r="M11" s="13">
        <v>2</v>
      </c>
      <c r="N11">
        <f t="shared" si="3"/>
        <v>0</v>
      </c>
      <c r="O11" s="14">
        <v>0.27800000000000002</v>
      </c>
      <c r="P11" s="13">
        <v>3</v>
      </c>
      <c r="Q11">
        <v>9.2609999999999992</v>
      </c>
      <c r="R11" s="15">
        <f t="shared" si="4"/>
        <v>0.5</v>
      </c>
      <c r="S11" s="13">
        <v>2</v>
      </c>
      <c r="T11">
        <v>3.7918647E-2</v>
      </c>
      <c r="U11" s="15">
        <f t="shared" si="5"/>
        <v>0</v>
      </c>
      <c r="Y11" s="2"/>
    </row>
    <row r="12" spans="1:25" x14ac:dyDescent="0.2">
      <c r="A12" s="16" t="s">
        <v>82</v>
      </c>
      <c r="B12" s="17">
        <v>12</v>
      </c>
      <c r="C12" s="17">
        <v>30</v>
      </c>
      <c r="D12" s="17">
        <v>2</v>
      </c>
      <c r="E12" s="17">
        <v>4</v>
      </c>
      <c r="F12" s="17">
        <f t="shared" si="0"/>
        <v>3</v>
      </c>
      <c r="G12" s="16">
        <v>3</v>
      </c>
      <c r="H12" s="17">
        <f t="shared" si="1"/>
        <v>0</v>
      </c>
      <c r="I12" s="18">
        <v>3.7440000000000002</v>
      </c>
      <c r="J12" s="16">
        <v>3</v>
      </c>
      <c r="K12" s="17">
        <f t="shared" si="2"/>
        <v>0</v>
      </c>
      <c r="L12" s="18">
        <v>2.6840000000000002</v>
      </c>
      <c r="M12" s="16">
        <v>3</v>
      </c>
      <c r="N12" s="17">
        <f t="shared" si="3"/>
        <v>0</v>
      </c>
      <c r="O12" s="18">
        <v>0.54800000000000004</v>
      </c>
      <c r="P12" s="13">
        <v>3</v>
      </c>
      <c r="Q12">
        <v>2.5910000000000002</v>
      </c>
      <c r="R12" s="15">
        <f t="shared" si="4"/>
        <v>0</v>
      </c>
      <c r="S12" s="13">
        <v>3</v>
      </c>
      <c r="T12">
        <v>1.8780178000000002E-2</v>
      </c>
      <c r="U12" s="15">
        <f t="shared" si="5"/>
        <v>0</v>
      </c>
      <c r="Y12" s="2"/>
    </row>
    <row r="13" spans="1:25" x14ac:dyDescent="0.2">
      <c r="A13" s="13" t="s">
        <v>83</v>
      </c>
      <c r="B13">
        <v>20</v>
      </c>
      <c r="C13">
        <v>70</v>
      </c>
      <c r="D13">
        <v>3</v>
      </c>
      <c r="E13">
        <v>6</v>
      </c>
      <c r="F13">
        <f t="shared" si="0"/>
        <v>4</v>
      </c>
      <c r="G13" s="19">
        <v>4</v>
      </c>
      <c r="H13" s="20">
        <f t="shared" si="1"/>
        <v>0</v>
      </c>
      <c r="I13" s="21" t="s">
        <v>84</v>
      </c>
      <c r="J13" s="13">
        <v>4</v>
      </c>
      <c r="K13" s="20">
        <f t="shared" si="2"/>
        <v>0</v>
      </c>
      <c r="L13" s="14">
        <v>176992.24100000001</v>
      </c>
      <c r="M13" s="13">
        <v>4</v>
      </c>
      <c r="N13" s="20">
        <f t="shared" si="3"/>
        <v>0</v>
      </c>
      <c r="O13" s="14">
        <v>74192.707999999999</v>
      </c>
      <c r="P13" s="13">
        <v>4</v>
      </c>
      <c r="Q13">
        <v>20.001000000000001</v>
      </c>
      <c r="R13" s="15">
        <f t="shared" si="4"/>
        <v>0</v>
      </c>
      <c r="S13" s="13">
        <v>4</v>
      </c>
      <c r="T13">
        <v>5.4489331000000002E-2</v>
      </c>
      <c r="U13" s="15">
        <f t="shared" si="5"/>
        <v>0</v>
      </c>
      <c r="Y13" s="2"/>
    </row>
    <row r="14" spans="1:25" x14ac:dyDescent="0.2">
      <c r="A14" s="16" t="s">
        <v>85</v>
      </c>
      <c r="B14" s="17">
        <v>12</v>
      </c>
      <c r="C14" s="17">
        <v>30</v>
      </c>
      <c r="D14" s="17">
        <v>2</v>
      </c>
      <c r="E14" s="17">
        <v>4</v>
      </c>
      <c r="F14" s="17">
        <f t="shared" si="0"/>
        <v>3</v>
      </c>
      <c r="G14" s="16">
        <v>3</v>
      </c>
      <c r="H14" s="17">
        <f t="shared" si="1"/>
        <v>0</v>
      </c>
      <c r="I14" s="18">
        <v>3.5089999999999999</v>
      </c>
      <c r="J14" s="16">
        <v>3</v>
      </c>
      <c r="K14" s="17">
        <f t="shared" si="2"/>
        <v>0</v>
      </c>
      <c r="L14" s="18">
        <v>1.823</v>
      </c>
      <c r="M14" s="16">
        <v>3</v>
      </c>
      <c r="N14" s="17">
        <f t="shared" si="3"/>
        <v>0</v>
      </c>
      <c r="O14" s="18">
        <v>0.60399999999999998</v>
      </c>
      <c r="P14" s="13">
        <v>3</v>
      </c>
      <c r="Q14">
        <v>2.827</v>
      </c>
      <c r="R14" s="15">
        <f t="shared" si="4"/>
        <v>0</v>
      </c>
      <c r="S14" s="13">
        <v>3</v>
      </c>
      <c r="T14">
        <v>2.5079842000000001E-2</v>
      </c>
      <c r="U14" s="15">
        <f t="shared" si="5"/>
        <v>0</v>
      </c>
      <c r="Y14" s="2"/>
    </row>
    <row r="15" spans="1:25" x14ac:dyDescent="0.2">
      <c r="A15" s="13" t="s">
        <v>86</v>
      </c>
      <c r="B15">
        <v>20</v>
      </c>
      <c r="C15">
        <v>60</v>
      </c>
      <c r="D15">
        <v>2</v>
      </c>
      <c r="E15">
        <v>6</v>
      </c>
      <c r="F15">
        <f t="shared" si="0"/>
        <v>3</v>
      </c>
      <c r="G15" s="13">
        <v>3</v>
      </c>
      <c r="H15">
        <f t="shared" si="1"/>
        <v>0</v>
      </c>
      <c r="I15" s="14">
        <v>11.545999999999999</v>
      </c>
      <c r="J15" s="13">
        <v>3</v>
      </c>
      <c r="K15">
        <f t="shared" si="2"/>
        <v>0</v>
      </c>
      <c r="L15" s="14">
        <v>4.5529999999999999</v>
      </c>
      <c r="M15" s="13">
        <v>3</v>
      </c>
      <c r="N15">
        <f t="shared" si="3"/>
        <v>0</v>
      </c>
      <c r="O15" s="14">
        <v>2.181</v>
      </c>
      <c r="P15" s="13">
        <v>3</v>
      </c>
      <c r="Q15">
        <v>17.856999999999999</v>
      </c>
      <c r="R15" s="15">
        <f t="shared" si="4"/>
        <v>0</v>
      </c>
      <c r="S15" s="13">
        <v>3</v>
      </c>
      <c r="T15">
        <v>5.3397373999999997E-2</v>
      </c>
      <c r="U15" s="15">
        <f t="shared" si="5"/>
        <v>0</v>
      </c>
      <c r="Y15" s="2"/>
    </row>
    <row r="16" spans="1:25" x14ac:dyDescent="0.2">
      <c r="A16" s="16" t="s">
        <v>87</v>
      </c>
      <c r="B16" s="17">
        <v>12</v>
      </c>
      <c r="C16" s="17">
        <v>26</v>
      </c>
      <c r="D16" s="17">
        <v>2</v>
      </c>
      <c r="E16" s="17">
        <v>4</v>
      </c>
      <c r="F16" s="17">
        <f t="shared" si="0"/>
        <v>2</v>
      </c>
      <c r="G16" s="16">
        <v>2</v>
      </c>
      <c r="H16" s="17">
        <f t="shared" si="1"/>
        <v>0</v>
      </c>
      <c r="I16" s="18">
        <v>0.29599999999999999</v>
      </c>
      <c r="J16" s="16">
        <v>2</v>
      </c>
      <c r="K16" s="17">
        <f t="shared" si="2"/>
        <v>0</v>
      </c>
      <c r="L16" s="18">
        <v>0.19</v>
      </c>
      <c r="M16" s="16">
        <v>2</v>
      </c>
      <c r="N16" s="17">
        <f t="shared" si="3"/>
        <v>0</v>
      </c>
      <c r="O16" s="18">
        <v>0.27100000000000002</v>
      </c>
      <c r="P16" s="13">
        <v>2</v>
      </c>
      <c r="Q16">
        <v>2.5779999999999998</v>
      </c>
      <c r="R16" s="15">
        <f t="shared" si="4"/>
        <v>0</v>
      </c>
      <c r="S16" s="13">
        <v>2</v>
      </c>
      <c r="T16">
        <v>1.6371650000000001E-2</v>
      </c>
      <c r="U16" s="15">
        <f t="shared" si="5"/>
        <v>0</v>
      </c>
      <c r="Y16" s="2"/>
    </row>
    <row r="17" spans="1:25" x14ac:dyDescent="0.2">
      <c r="A17" s="13" t="s">
        <v>88</v>
      </c>
      <c r="B17">
        <v>20</v>
      </c>
      <c r="C17">
        <v>55</v>
      </c>
      <c r="D17">
        <v>2</v>
      </c>
      <c r="E17">
        <v>6</v>
      </c>
      <c r="F17">
        <f t="shared" si="0"/>
        <v>3</v>
      </c>
      <c r="G17" s="13">
        <v>3</v>
      </c>
      <c r="H17">
        <f t="shared" si="1"/>
        <v>0</v>
      </c>
      <c r="I17" s="14">
        <v>6.8869999999999996</v>
      </c>
      <c r="J17" s="13">
        <v>3</v>
      </c>
      <c r="K17">
        <f t="shared" si="2"/>
        <v>0</v>
      </c>
      <c r="L17" s="14">
        <v>3.3170000000000002</v>
      </c>
      <c r="M17" s="13">
        <v>3</v>
      </c>
      <c r="N17">
        <f t="shared" si="3"/>
        <v>0</v>
      </c>
      <c r="O17" s="14">
        <v>1.93</v>
      </c>
      <c r="P17" s="13">
        <v>3</v>
      </c>
      <c r="Q17">
        <v>14.805999999999999</v>
      </c>
      <c r="R17" s="15">
        <f t="shared" si="4"/>
        <v>0</v>
      </c>
      <c r="S17" s="13">
        <v>3</v>
      </c>
      <c r="T17">
        <v>4.0989365E-2</v>
      </c>
      <c r="U17" s="15">
        <f t="shared" si="5"/>
        <v>0</v>
      </c>
      <c r="Y17" s="2"/>
    </row>
    <row r="18" spans="1:25" x14ac:dyDescent="0.2">
      <c r="A18" s="16" t="s">
        <v>89</v>
      </c>
      <c r="B18" s="17">
        <v>10</v>
      </c>
      <c r="C18" s="17">
        <v>9</v>
      </c>
      <c r="D18" s="17">
        <v>1</v>
      </c>
      <c r="E18" s="17">
        <v>4</v>
      </c>
      <c r="F18" s="17">
        <f t="shared" si="0"/>
        <v>1</v>
      </c>
      <c r="G18" s="16">
        <v>1</v>
      </c>
      <c r="H18" s="17">
        <f t="shared" si="1"/>
        <v>0</v>
      </c>
      <c r="I18" s="18">
        <v>0.248</v>
      </c>
      <c r="J18" s="16">
        <v>1</v>
      </c>
      <c r="K18" s="17">
        <f t="shared" si="2"/>
        <v>0</v>
      </c>
      <c r="L18" s="18">
        <v>0.39300000000000002</v>
      </c>
      <c r="M18" s="16">
        <v>1</v>
      </c>
      <c r="N18" s="17">
        <f t="shared" si="3"/>
        <v>0</v>
      </c>
      <c r="O18" s="18">
        <v>0.30299999999999999</v>
      </c>
      <c r="P18" s="13">
        <v>1</v>
      </c>
      <c r="Q18">
        <v>0.435</v>
      </c>
      <c r="R18" s="15">
        <f t="shared" si="4"/>
        <v>0</v>
      </c>
      <c r="S18" s="13">
        <v>1</v>
      </c>
      <c r="T18">
        <v>9.7831250000000002E-3</v>
      </c>
      <c r="U18" s="15">
        <f t="shared" si="5"/>
        <v>0</v>
      </c>
      <c r="Y18" s="2"/>
    </row>
    <row r="19" spans="1:25" x14ac:dyDescent="0.2">
      <c r="A19" s="13" t="s">
        <v>90</v>
      </c>
      <c r="B19">
        <v>15</v>
      </c>
      <c r="C19">
        <v>14</v>
      </c>
      <c r="D19">
        <v>1</v>
      </c>
      <c r="E19">
        <v>5</v>
      </c>
      <c r="F19">
        <f t="shared" si="0"/>
        <v>1</v>
      </c>
      <c r="G19" s="13">
        <v>1</v>
      </c>
      <c r="H19">
        <f t="shared" si="1"/>
        <v>0</v>
      </c>
      <c r="I19" s="14">
        <v>0.32300000000000001</v>
      </c>
      <c r="J19" s="13">
        <v>1</v>
      </c>
      <c r="K19">
        <f t="shared" si="2"/>
        <v>0</v>
      </c>
      <c r="L19" s="14">
        <v>0.30599999999999999</v>
      </c>
      <c r="M19" s="13">
        <v>1</v>
      </c>
      <c r="N19">
        <f t="shared" si="3"/>
        <v>0</v>
      </c>
      <c r="O19" s="14">
        <v>0.35099999999999998</v>
      </c>
      <c r="P19" s="13">
        <v>2</v>
      </c>
      <c r="Q19">
        <v>1.3149999999999999</v>
      </c>
      <c r="R19" s="15">
        <f t="shared" si="4"/>
        <v>1</v>
      </c>
      <c r="S19" s="13">
        <v>1</v>
      </c>
      <c r="T19">
        <v>1.5775022999999999E-2</v>
      </c>
      <c r="U19" s="15">
        <f t="shared" si="5"/>
        <v>0</v>
      </c>
      <c r="Y19" s="2"/>
    </row>
    <row r="20" spans="1:25" x14ac:dyDescent="0.2">
      <c r="A20" s="16" t="s">
        <v>91</v>
      </c>
      <c r="B20" s="17">
        <v>20</v>
      </c>
      <c r="C20" s="17">
        <v>19</v>
      </c>
      <c r="D20" s="17">
        <v>1</v>
      </c>
      <c r="E20" s="17">
        <v>6</v>
      </c>
      <c r="F20" s="17">
        <f t="shared" si="0"/>
        <v>1</v>
      </c>
      <c r="G20" s="16">
        <v>1</v>
      </c>
      <c r="H20" s="17">
        <f t="shared" si="1"/>
        <v>0</v>
      </c>
      <c r="I20" s="18">
        <v>0.42599999999999999</v>
      </c>
      <c r="J20" s="16">
        <v>1</v>
      </c>
      <c r="K20" s="17">
        <f t="shared" si="2"/>
        <v>0</v>
      </c>
      <c r="L20" s="18">
        <v>0.36</v>
      </c>
      <c r="M20" s="16">
        <v>1</v>
      </c>
      <c r="N20" s="17">
        <f t="shared" si="3"/>
        <v>0</v>
      </c>
      <c r="O20" s="18">
        <v>0.30499999999999999</v>
      </c>
      <c r="P20" s="13">
        <v>1</v>
      </c>
      <c r="Q20">
        <v>4.0350000000000001</v>
      </c>
      <c r="R20" s="15">
        <f t="shared" si="4"/>
        <v>0</v>
      </c>
      <c r="S20" s="13">
        <v>1</v>
      </c>
      <c r="T20">
        <v>2.4819352999999999E-2</v>
      </c>
      <c r="U20" s="15">
        <f t="shared" si="5"/>
        <v>0</v>
      </c>
      <c r="Y20" s="2"/>
    </row>
    <row r="21" spans="1:25" x14ac:dyDescent="0.2">
      <c r="A21" s="13" t="s">
        <v>92</v>
      </c>
      <c r="B21">
        <v>10</v>
      </c>
      <c r="C21">
        <v>10</v>
      </c>
      <c r="D21">
        <v>1</v>
      </c>
      <c r="E21">
        <v>4</v>
      </c>
      <c r="F21">
        <f t="shared" si="0"/>
        <v>1</v>
      </c>
      <c r="G21" s="13">
        <v>1</v>
      </c>
      <c r="H21">
        <f t="shared" si="1"/>
        <v>0</v>
      </c>
      <c r="I21" s="14">
        <v>0.34200000000000003</v>
      </c>
      <c r="J21" s="13">
        <v>1</v>
      </c>
      <c r="K21">
        <f t="shared" si="2"/>
        <v>0</v>
      </c>
      <c r="L21" s="14">
        <v>0.35</v>
      </c>
      <c r="M21" s="13">
        <v>1</v>
      </c>
      <c r="N21">
        <f t="shared" si="3"/>
        <v>0</v>
      </c>
      <c r="O21" s="14">
        <v>0.24199999999999999</v>
      </c>
      <c r="P21" s="13">
        <v>1</v>
      </c>
      <c r="Q21">
        <v>0.4</v>
      </c>
      <c r="R21" s="15">
        <f t="shared" si="4"/>
        <v>0</v>
      </c>
      <c r="S21" s="13">
        <v>1</v>
      </c>
      <c r="T21">
        <v>1.0242797E-2</v>
      </c>
      <c r="U21" s="15">
        <f t="shared" si="5"/>
        <v>0</v>
      </c>
      <c r="Y21" s="2"/>
    </row>
    <row r="22" spans="1:25" x14ac:dyDescent="0.2">
      <c r="A22" s="16" t="s">
        <v>93</v>
      </c>
      <c r="B22" s="17">
        <v>15</v>
      </c>
      <c r="C22" s="17">
        <v>15</v>
      </c>
      <c r="D22" s="17">
        <v>1</v>
      </c>
      <c r="E22" s="17">
        <v>5</v>
      </c>
      <c r="F22" s="17">
        <f t="shared" si="0"/>
        <v>2</v>
      </c>
      <c r="G22" s="16">
        <v>2</v>
      </c>
      <c r="H22" s="17">
        <f t="shared" si="1"/>
        <v>0</v>
      </c>
      <c r="I22" s="18">
        <v>2.0830000000000002</v>
      </c>
      <c r="J22" s="16">
        <v>2</v>
      </c>
      <c r="K22" s="17">
        <f t="shared" si="2"/>
        <v>0</v>
      </c>
      <c r="L22" s="18">
        <v>1.464</v>
      </c>
      <c r="M22" s="16">
        <v>2</v>
      </c>
      <c r="N22" s="17">
        <f t="shared" si="3"/>
        <v>0</v>
      </c>
      <c r="O22" s="18">
        <v>0.502</v>
      </c>
      <c r="P22" s="13">
        <v>2</v>
      </c>
      <c r="Q22">
        <v>1.1859999999999999</v>
      </c>
      <c r="R22" s="15">
        <f t="shared" si="4"/>
        <v>0</v>
      </c>
      <c r="S22" s="13">
        <v>2</v>
      </c>
      <c r="T22">
        <v>1.6371190000000001E-2</v>
      </c>
      <c r="U22" s="15">
        <f t="shared" si="5"/>
        <v>0</v>
      </c>
      <c r="Y22" s="2"/>
    </row>
    <row r="23" spans="1:25" x14ac:dyDescent="0.2">
      <c r="A23" s="13" t="s">
        <v>94</v>
      </c>
      <c r="B23">
        <v>20</v>
      </c>
      <c r="C23">
        <v>20</v>
      </c>
      <c r="D23">
        <v>1</v>
      </c>
      <c r="E23">
        <v>6</v>
      </c>
      <c r="F23">
        <f t="shared" si="0"/>
        <v>1</v>
      </c>
      <c r="G23" s="13">
        <v>1</v>
      </c>
      <c r="H23">
        <f t="shared" si="1"/>
        <v>0</v>
      </c>
      <c r="I23" s="14">
        <v>0.51600000000000001</v>
      </c>
      <c r="J23" s="13">
        <v>1</v>
      </c>
      <c r="K23">
        <f t="shared" si="2"/>
        <v>0</v>
      </c>
      <c r="L23" s="14">
        <v>0.34399999999999997</v>
      </c>
      <c r="M23" s="13">
        <v>1</v>
      </c>
      <c r="N23">
        <f t="shared" si="3"/>
        <v>0</v>
      </c>
      <c r="O23" s="14">
        <v>0.27700000000000002</v>
      </c>
      <c r="P23" s="13">
        <v>1</v>
      </c>
      <c r="Q23">
        <v>4.2969999999999997</v>
      </c>
      <c r="R23" s="15">
        <f t="shared" si="4"/>
        <v>0</v>
      </c>
      <c r="S23" s="13">
        <v>1</v>
      </c>
      <c r="T23">
        <v>2.5677643E-2</v>
      </c>
      <c r="U23" s="15">
        <f t="shared" si="5"/>
        <v>0</v>
      </c>
      <c r="Y23" s="2"/>
    </row>
    <row r="24" spans="1:25" x14ac:dyDescent="0.2">
      <c r="A24" s="16" t="s">
        <v>95</v>
      </c>
      <c r="B24" s="17">
        <v>5</v>
      </c>
      <c r="C24" s="17">
        <v>8</v>
      </c>
      <c r="D24" s="17">
        <v>1</v>
      </c>
      <c r="E24" s="17">
        <v>2</v>
      </c>
      <c r="F24" s="17">
        <f t="shared" si="0"/>
        <v>2</v>
      </c>
      <c r="G24" s="16">
        <v>2</v>
      </c>
      <c r="H24" s="17">
        <f t="shared" si="1"/>
        <v>0</v>
      </c>
      <c r="I24" s="18">
        <v>0.23200000000000001</v>
      </c>
      <c r="J24" s="16">
        <v>2</v>
      </c>
      <c r="K24" s="17">
        <f t="shared" si="2"/>
        <v>0</v>
      </c>
      <c r="L24" s="18">
        <v>0.25700000000000001</v>
      </c>
      <c r="M24" s="16">
        <v>2</v>
      </c>
      <c r="N24" s="17">
        <f t="shared" si="3"/>
        <v>0</v>
      </c>
      <c r="O24" s="18">
        <v>0.20899999999999999</v>
      </c>
      <c r="P24" s="13">
        <v>2</v>
      </c>
      <c r="Q24">
        <v>0.11899999999999999</v>
      </c>
      <c r="R24" s="15">
        <f t="shared" si="4"/>
        <v>0</v>
      </c>
      <c r="S24" s="13">
        <v>2</v>
      </c>
      <c r="T24">
        <v>4.5572260000000002E-3</v>
      </c>
      <c r="U24" s="15">
        <f t="shared" si="5"/>
        <v>0</v>
      </c>
      <c r="Y24" s="2"/>
    </row>
    <row r="25" spans="1:25" x14ac:dyDescent="0.2">
      <c r="A25" s="13" t="s">
        <v>96</v>
      </c>
      <c r="B25">
        <v>7</v>
      </c>
      <c r="C25">
        <v>12</v>
      </c>
      <c r="D25">
        <v>2</v>
      </c>
      <c r="E25">
        <v>3</v>
      </c>
      <c r="F25">
        <f t="shared" si="0"/>
        <v>2</v>
      </c>
      <c r="G25" s="13">
        <v>2</v>
      </c>
      <c r="H25">
        <f t="shared" si="1"/>
        <v>0</v>
      </c>
      <c r="I25" s="14">
        <v>0.24199999999999999</v>
      </c>
      <c r="J25" s="13">
        <v>2</v>
      </c>
      <c r="K25">
        <f t="shared" si="2"/>
        <v>0</v>
      </c>
      <c r="L25" s="14">
        <v>0.34599999999999997</v>
      </c>
      <c r="M25" s="13">
        <v>2</v>
      </c>
      <c r="N25">
        <f t="shared" si="3"/>
        <v>0</v>
      </c>
      <c r="O25" s="14">
        <v>0.23400000000000001</v>
      </c>
      <c r="P25" s="13">
        <v>2</v>
      </c>
      <c r="Q25">
        <v>0.35399999999999998</v>
      </c>
      <c r="R25" s="15">
        <f t="shared" si="4"/>
        <v>0</v>
      </c>
      <c r="S25" s="13">
        <v>2</v>
      </c>
      <c r="T25">
        <v>6.5327500000000004E-3</v>
      </c>
      <c r="U25" s="15">
        <f t="shared" si="5"/>
        <v>0</v>
      </c>
      <c r="Y25" s="2"/>
    </row>
    <row r="26" spans="1:25" x14ac:dyDescent="0.2">
      <c r="A26" s="16" t="s">
        <v>97</v>
      </c>
      <c r="B26" s="17">
        <v>10</v>
      </c>
      <c r="C26" s="17">
        <v>18</v>
      </c>
      <c r="D26" s="17">
        <v>2</v>
      </c>
      <c r="E26" s="17">
        <v>4</v>
      </c>
      <c r="F26" s="17">
        <f t="shared" si="0"/>
        <v>2</v>
      </c>
      <c r="G26" s="16">
        <v>2</v>
      </c>
      <c r="H26" s="17">
        <f t="shared" si="1"/>
        <v>0</v>
      </c>
      <c r="I26" s="18">
        <v>0.77400000000000002</v>
      </c>
      <c r="J26" s="16">
        <v>2</v>
      </c>
      <c r="K26" s="17">
        <f t="shared" si="2"/>
        <v>0</v>
      </c>
      <c r="L26" s="18">
        <v>0.41499999999999998</v>
      </c>
      <c r="M26" s="16">
        <v>2</v>
      </c>
      <c r="N26" s="17">
        <f t="shared" si="3"/>
        <v>0</v>
      </c>
      <c r="O26" s="18">
        <v>0.40799999999999997</v>
      </c>
      <c r="P26" s="13">
        <v>2</v>
      </c>
      <c r="Q26">
        <v>1.1659999999999999</v>
      </c>
      <c r="R26" s="15">
        <f t="shared" si="4"/>
        <v>0</v>
      </c>
      <c r="S26" s="13">
        <v>2</v>
      </c>
      <c r="T26">
        <v>1.5541074E-2</v>
      </c>
      <c r="U26" s="15">
        <f t="shared" si="5"/>
        <v>0</v>
      </c>
      <c r="Y26" s="2"/>
    </row>
    <row r="27" spans="1:25" x14ac:dyDescent="0.2">
      <c r="A27" s="13" t="s">
        <v>98</v>
      </c>
      <c r="B27">
        <v>15</v>
      </c>
      <c r="C27">
        <v>28</v>
      </c>
      <c r="D27">
        <v>3</v>
      </c>
      <c r="E27">
        <v>5</v>
      </c>
      <c r="F27">
        <f t="shared" si="0"/>
        <v>3</v>
      </c>
      <c r="G27" s="13">
        <v>3</v>
      </c>
      <c r="H27">
        <f t="shared" si="1"/>
        <v>0</v>
      </c>
      <c r="I27" s="14">
        <v>52574.381000000001</v>
      </c>
      <c r="J27" s="13">
        <v>3</v>
      </c>
      <c r="K27">
        <f t="shared" si="2"/>
        <v>0</v>
      </c>
      <c r="L27" s="14">
        <v>160196.897</v>
      </c>
      <c r="M27" s="13">
        <v>3</v>
      </c>
      <c r="N27">
        <f t="shared" si="3"/>
        <v>0</v>
      </c>
      <c r="O27" s="14">
        <v>4444.857</v>
      </c>
      <c r="P27" s="13">
        <v>3</v>
      </c>
      <c r="Q27">
        <v>4.1059999999999999</v>
      </c>
      <c r="R27" s="15">
        <f t="shared" si="4"/>
        <v>0</v>
      </c>
      <c r="S27" s="13">
        <v>3</v>
      </c>
      <c r="T27">
        <v>2.2313482999999999E-2</v>
      </c>
      <c r="U27" s="15">
        <f t="shared" si="5"/>
        <v>0</v>
      </c>
      <c r="Y27" s="2"/>
    </row>
    <row r="28" spans="1:25" x14ac:dyDescent="0.2">
      <c r="A28" s="16" t="s">
        <v>99</v>
      </c>
      <c r="B28" s="17">
        <v>20</v>
      </c>
      <c r="C28" s="17">
        <v>38</v>
      </c>
      <c r="D28" s="17">
        <v>3</v>
      </c>
      <c r="E28" s="17">
        <v>6</v>
      </c>
      <c r="F28" s="17">
        <f t="shared" si="0"/>
        <v>0</v>
      </c>
      <c r="G28" s="22"/>
      <c r="H28" s="23"/>
      <c r="I28" s="24"/>
      <c r="J28" s="22"/>
      <c r="K28" s="23"/>
      <c r="L28" s="24"/>
      <c r="M28" s="22"/>
      <c r="N28" s="23"/>
      <c r="O28" s="24"/>
      <c r="P28" s="13"/>
      <c r="R28" s="15"/>
      <c r="S28" s="13"/>
      <c r="U28" s="15"/>
      <c r="Y28" s="2"/>
    </row>
    <row r="29" spans="1:25" x14ac:dyDescent="0.2">
      <c r="A29" s="13" t="s">
        <v>100</v>
      </c>
      <c r="B29">
        <v>10</v>
      </c>
      <c r="C29">
        <v>20</v>
      </c>
      <c r="D29">
        <v>2</v>
      </c>
      <c r="E29">
        <v>4</v>
      </c>
      <c r="F29">
        <f t="shared" si="0"/>
        <v>2</v>
      </c>
      <c r="G29" s="13">
        <v>2</v>
      </c>
      <c r="H29">
        <f t="shared" si="1"/>
        <v>0</v>
      </c>
      <c r="I29" s="14">
        <v>0.313</v>
      </c>
      <c r="J29" s="13">
        <v>2</v>
      </c>
      <c r="K29">
        <f t="shared" si="2"/>
        <v>0</v>
      </c>
      <c r="L29" s="14">
        <v>0.432</v>
      </c>
      <c r="M29" s="13">
        <v>2</v>
      </c>
      <c r="N29">
        <f t="shared" si="3"/>
        <v>0</v>
      </c>
      <c r="O29" s="14">
        <v>0.251</v>
      </c>
      <c r="P29" s="13">
        <v>2</v>
      </c>
      <c r="Q29">
        <v>1.115</v>
      </c>
      <c r="R29" s="15">
        <f t="shared" si="4"/>
        <v>0</v>
      </c>
      <c r="S29" s="13">
        <v>2</v>
      </c>
      <c r="T29">
        <v>1.7127508E-2</v>
      </c>
      <c r="U29" s="15">
        <f t="shared" si="5"/>
        <v>0</v>
      </c>
      <c r="Y29" s="2"/>
    </row>
    <row r="30" spans="1:25" x14ac:dyDescent="0.2">
      <c r="A30" s="16" t="s">
        <v>101</v>
      </c>
      <c r="B30" s="17">
        <v>15</v>
      </c>
      <c r="C30" s="17">
        <v>30</v>
      </c>
      <c r="D30" s="17">
        <v>2</v>
      </c>
      <c r="E30" s="17">
        <v>5</v>
      </c>
      <c r="F30" s="17">
        <f t="shared" si="0"/>
        <v>2</v>
      </c>
      <c r="G30" s="16">
        <v>2</v>
      </c>
      <c r="H30" s="17">
        <f t="shared" si="1"/>
        <v>0</v>
      </c>
      <c r="I30" s="18">
        <v>0.29499999999999998</v>
      </c>
      <c r="J30" s="16">
        <v>2</v>
      </c>
      <c r="K30" s="17">
        <f t="shared" si="2"/>
        <v>0</v>
      </c>
      <c r="L30" s="18">
        <v>0.51300000000000001</v>
      </c>
      <c r="M30" s="16">
        <v>2</v>
      </c>
      <c r="N30" s="17">
        <f t="shared" si="3"/>
        <v>0</v>
      </c>
      <c r="O30" s="18">
        <v>0.27900000000000003</v>
      </c>
      <c r="P30" s="13">
        <v>2</v>
      </c>
      <c r="Q30">
        <v>3.5760000000000001</v>
      </c>
      <c r="R30" s="15">
        <f t="shared" si="4"/>
        <v>0</v>
      </c>
      <c r="S30" s="13">
        <v>2</v>
      </c>
      <c r="T30">
        <v>2.1806112999999998E-2</v>
      </c>
      <c r="U30" s="15">
        <f t="shared" si="5"/>
        <v>0</v>
      </c>
      <c r="Y30" s="2"/>
    </row>
    <row r="31" spans="1:25" x14ac:dyDescent="0.2">
      <c r="A31" s="13" t="s">
        <v>102</v>
      </c>
      <c r="B31">
        <v>20</v>
      </c>
      <c r="C31">
        <v>40</v>
      </c>
      <c r="D31">
        <v>2</v>
      </c>
      <c r="E31">
        <v>6</v>
      </c>
      <c r="F31">
        <f t="shared" si="0"/>
        <v>2</v>
      </c>
      <c r="G31" s="13">
        <v>2</v>
      </c>
      <c r="H31">
        <f t="shared" si="1"/>
        <v>0</v>
      </c>
      <c r="I31" s="14">
        <v>0.38100000000000001</v>
      </c>
      <c r="J31" s="13">
        <v>2</v>
      </c>
      <c r="K31">
        <f t="shared" si="2"/>
        <v>0</v>
      </c>
      <c r="L31" s="14">
        <v>0.41199999999999998</v>
      </c>
      <c r="M31" s="13">
        <v>2</v>
      </c>
      <c r="N31">
        <f t="shared" si="3"/>
        <v>0</v>
      </c>
      <c r="O31" s="14">
        <v>0.29599999999999999</v>
      </c>
      <c r="P31" s="13">
        <v>2</v>
      </c>
      <c r="Q31">
        <v>9.1449999999999996</v>
      </c>
      <c r="R31" s="15">
        <f t="shared" si="4"/>
        <v>0</v>
      </c>
      <c r="S31" s="13">
        <v>2</v>
      </c>
      <c r="T31">
        <v>3.7355881000000001E-2</v>
      </c>
      <c r="U31" s="15">
        <f t="shared" si="5"/>
        <v>0</v>
      </c>
      <c r="Y31" s="2"/>
    </row>
    <row r="32" spans="1:25" x14ac:dyDescent="0.2">
      <c r="A32" s="16" t="s">
        <v>103</v>
      </c>
      <c r="B32" s="17">
        <v>10</v>
      </c>
      <c r="C32" s="17">
        <v>45</v>
      </c>
      <c r="D32" s="17">
        <v>4</v>
      </c>
      <c r="E32" s="17">
        <v>4</v>
      </c>
      <c r="F32" s="17">
        <f t="shared" si="0"/>
        <v>4</v>
      </c>
      <c r="G32" s="16">
        <v>4</v>
      </c>
      <c r="H32" s="17">
        <f t="shared" si="1"/>
        <v>0</v>
      </c>
      <c r="I32" s="18">
        <v>0.316</v>
      </c>
      <c r="J32" s="16">
        <v>4</v>
      </c>
      <c r="K32" s="17">
        <f t="shared" si="2"/>
        <v>0</v>
      </c>
      <c r="L32" s="18">
        <v>0.36</v>
      </c>
      <c r="M32" s="16">
        <v>4</v>
      </c>
      <c r="N32" s="17">
        <f t="shared" si="3"/>
        <v>0</v>
      </c>
      <c r="O32" s="18">
        <v>0.20599999999999999</v>
      </c>
      <c r="P32" s="13">
        <v>4</v>
      </c>
      <c r="Q32">
        <v>3.7360000000000002</v>
      </c>
      <c r="R32" s="15">
        <f t="shared" si="4"/>
        <v>0</v>
      </c>
      <c r="S32" s="13">
        <v>4</v>
      </c>
      <c r="T32">
        <v>1.9659095000000001E-2</v>
      </c>
      <c r="U32" s="15">
        <f t="shared" si="5"/>
        <v>0</v>
      </c>
      <c r="Y32" s="2"/>
    </row>
    <row r="33" spans="1:25" x14ac:dyDescent="0.2">
      <c r="A33" s="13" t="s">
        <v>104</v>
      </c>
      <c r="B33">
        <v>15</v>
      </c>
      <c r="C33">
        <v>105</v>
      </c>
      <c r="D33">
        <v>5</v>
      </c>
      <c r="E33">
        <v>5</v>
      </c>
      <c r="F33">
        <f t="shared" si="0"/>
        <v>0</v>
      </c>
      <c r="G33" s="19"/>
      <c r="H33" s="20"/>
      <c r="I33" s="21"/>
      <c r="J33" s="19"/>
      <c r="K33" s="20"/>
      <c r="L33" s="21"/>
      <c r="M33" s="19"/>
      <c r="N33" s="20"/>
      <c r="O33" s="21"/>
      <c r="P33" s="13"/>
      <c r="R33" s="15"/>
      <c r="S33" s="13"/>
      <c r="U33" s="15"/>
      <c r="Y33" s="2"/>
    </row>
    <row r="34" spans="1:25" x14ac:dyDescent="0.2">
      <c r="A34" s="16" t="s">
        <v>105</v>
      </c>
      <c r="B34" s="17">
        <v>20</v>
      </c>
      <c r="C34" s="17">
        <v>190</v>
      </c>
      <c r="D34" s="17">
        <v>6</v>
      </c>
      <c r="E34" s="17">
        <v>6</v>
      </c>
      <c r="F34" s="17">
        <f t="shared" si="0"/>
        <v>0</v>
      </c>
      <c r="G34" s="22"/>
      <c r="H34" s="23"/>
      <c r="I34" s="24"/>
      <c r="J34" s="22"/>
      <c r="K34" s="23"/>
      <c r="L34" s="24"/>
      <c r="M34" s="22"/>
      <c r="N34" s="23"/>
      <c r="O34" s="24"/>
      <c r="P34" s="13"/>
      <c r="R34" s="15"/>
      <c r="S34" s="13"/>
      <c r="U34" s="15"/>
      <c r="Y34" s="2"/>
    </row>
    <row r="35" spans="1:25" x14ac:dyDescent="0.2">
      <c r="A35" s="13" t="s">
        <v>106</v>
      </c>
      <c r="B35">
        <v>6</v>
      </c>
      <c r="C35">
        <v>9</v>
      </c>
      <c r="D35">
        <v>2</v>
      </c>
      <c r="E35">
        <v>3</v>
      </c>
      <c r="F35">
        <f t="shared" si="0"/>
        <v>2</v>
      </c>
      <c r="G35" s="13">
        <v>2</v>
      </c>
      <c r="H35">
        <f t="shared" si="1"/>
        <v>0</v>
      </c>
      <c r="I35" s="14">
        <v>0.36499999999999999</v>
      </c>
      <c r="J35" s="13">
        <v>2</v>
      </c>
      <c r="K35">
        <f t="shared" si="2"/>
        <v>0</v>
      </c>
      <c r="L35" s="14">
        <v>0.47299999999999998</v>
      </c>
      <c r="M35" s="13">
        <v>2</v>
      </c>
      <c r="N35">
        <f t="shared" si="3"/>
        <v>0</v>
      </c>
      <c r="O35" s="14">
        <v>0.25600000000000001</v>
      </c>
      <c r="P35" s="13">
        <v>2</v>
      </c>
      <c r="Q35">
        <v>0.17499999999999999</v>
      </c>
      <c r="R35" s="15">
        <f t="shared" si="4"/>
        <v>0</v>
      </c>
      <c r="S35" s="13">
        <v>2</v>
      </c>
      <c r="T35">
        <v>1.4192444E-2</v>
      </c>
      <c r="U35" s="15">
        <f t="shared" si="5"/>
        <v>0</v>
      </c>
      <c r="Y35" s="2"/>
    </row>
    <row r="36" spans="1:25" x14ac:dyDescent="0.2">
      <c r="A36" s="16" t="s">
        <v>107</v>
      </c>
      <c r="B36" s="17">
        <v>7</v>
      </c>
      <c r="C36" s="17">
        <v>12</v>
      </c>
      <c r="D36" s="17">
        <v>2</v>
      </c>
      <c r="E36" s="17">
        <v>3</v>
      </c>
      <c r="F36" s="17">
        <f t="shared" si="0"/>
        <v>3</v>
      </c>
      <c r="G36" s="16">
        <v>3</v>
      </c>
      <c r="H36" s="17">
        <f t="shared" si="1"/>
        <v>0</v>
      </c>
      <c r="I36" s="18">
        <v>0.502</v>
      </c>
      <c r="J36" s="16">
        <v>3</v>
      </c>
      <c r="K36" s="17">
        <f t="shared" si="2"/>
        <v>0</v>
      </c>
      <c r="L36" s="18">
        <v>0.61799999999999999</v>
      </c>
      <c r="M36" s="16">
        <v>3</v>
      </c>
      <c r="N36" s="17">
        <f t="shared" si="3"/>
        <v>0</v>
      </c>
      <c r="O36" s="18">
        <v>0.33100000000000002</v>
      </c>
      <c r="P36" s="13">
        <v>3</v>
      </c>
      <c r="Q36">
        <v>0.28199999999999997</v>
      </c>
      <c r="R36" s="15">
        <f t="shared" si="4"/>
        <v>0</v>
      </c>
      <c r="S36" s="13">
        <v>3</v>
      </c>
      <c r="T36">
        <v>2.0994009000000001E-2</v>
      </c>
      <c r="U36" s="15">
        <f t="shared" si="5"/>
        <v>0</v>
      </c>
      <c r="Y36" s="2"/>
    </row>
    <row r="37" spans="1:25" x14ac:dyDescent="0.2">
      <c r="A37" s="13" t="s">
        <v>108</v>
      </c>
      <c r="B37">
        <v>8</v>
      </c>
      <c r="C37">
        <v>16</v>
      </c>
      <c r="D37">
        <v>2</v>
      </c>
      <c r="E37">
        <v>3</v>
      </c>
      <c r="F37">
        <f t="shared" si="0"/>
        <v>3</v>
      </c>
      <c r="G37" s="13">
        <v>3</v>
      </c>
      <c r="H37">
        <f t="shared" si="1"/>
        <v>0</v>
      </c>
      <c r="I37" s="14">
        <v>0.505</v>
      </c>
      <c r="J37" s="13">
        <v>3</v>
      </c>
      <c r="K37">
        <f t="shared" si="2"/>
        <v>0</v>
      </c>
      <c r="L37" s="14">
        <v>0.71499999999999997</v>
      </c>
      <c r="M37" s="13">
        <v>3</v>
      </c>
      <c r="N37">
        <f t="shared" si="3"/>
        <v>0</v>
      </c>
      <c r="O37" s="14">
        <v>0.33300000000000002</v>
      </c>
      <c r="P37" s="13">
        <v>3</v>
      </c>
      <c r="Q37">
        <v>0.56399999999999995</v>
      </c>
      <c r="R37" s="15">
        <f t="shared" si="4"/>
        <v>0</v>
      </c>
      <c r="S37" s="13">
        <v>3</v>
      </c>
      <c r="T37">
        <v>1.6218584000000001E-2</v>
      </c>
      <c r="U37" s="15">
        <f t="shared" si="5"/>
        <v>0</v>
      </c>
      <c r="Y37" s="2"/>
    </row>
    <row r="38" spans="1:25" x14ac:dyDescent="0.2">
      <c r="A38" s="16" t="s">
        <v>109</v>
      </c>
      <c r="B38" s="17">
        <v>10</v>
      </c>
      <c r="C38" s="17">
        <v>25</v>
      </c>
      <c r="D38" s="17">
        <v>2</v>
      </c>
      <c r="E38" s="17">
        <v>4</v>
      </c>
      <c r="F38" s="17">
        <f t="shared" si="0"/>
        <v>3</v>
      </c>
      <c r="G38" s="16">
        <v>3</v>
      </c>
      <c r="H38" s="17">
        <f t="shared" si="1"/>
        <v>0</v>
      </c>
      <c r="I38" s="18">
        <v>1.1559999999999999</v>
      </c>
      <c r="J38" s="16">
        <v>3</v>
      </c>
      <c r="K38" s="17">
        <f t="shared" si="2"/>
        <v>0</v>
      </c>
      <c r="L38" s="18">
        <v>1.494</v>
      </c>
      <c r="M38" s="16">
        <v>3</v>
      </c>
      <c r="N38" s="17">
        <f t="shared" si="3"/>
        <v>0</v>
      </c>
      <c r="O38" s="18">
        <v>0.77700000000000002</v>
      </c>
      <c r="P38" s="13">
        <v>3</v>
      </c>
      <c r="Q38">
        <v>1.4590000000000001</v>
      </c>
      <c r="R38" s="15">
        <f t="shared" si="4"/>
        <v>0</v>
      </c>
      <c r="S38" s="13">
        <v>3</v>
      </c>
      <c r="T38">
        <v>2.3394148999999999E-2</v>
      </c>
      <c r="U38" s="15">
        <f t="shared" si="5"/>
        <v>0</v>
      </c>
      <c r="Y38" s="2"/>
    </row>
    <row r="39" spans="1:25" x14ac:dyDescent="0.2">
      <c r="A39" s="13" t="s">
        <v>110</v>
      </c>
      <c r="B39">
        <v>15</v>
      </c>
      <c r="C39">
        <v>56</v>
      </c>
      <c r="D39">
        <v>3</v>
      </c>
      <c r="E39">
        <v>5</v>
      </c>
      <c r="F39">
        <f t="shared" si="0"/>
        <v>4</v>
      </c>
      <c r="G39" s="13">
        <v>4</v>
      </c>
      <c r="H39">
        <f t="shared" si="1"/>
        <v>0</v>
      </c>
      <c r="I39" s="14">
        <v>7254.3190000000004</v>
      </c>
      <c r="J39" s="13">
        <v>4</v>
      </c>
      <c r="K39">
        <f t="shared" si="2"/>
        <v>0</v>
      </c>
      <c r="L39" s="14">
        <v>40331.582999999999</v>
      </c>
      <c r="M39" s="13">
        <v>4</v>
      </c>
      <c r="N39">
        <f t="shared" si="3"/>
        <v>0</v>
      </c>
      <c r="O39" s="14">
        <v>1050.3050000000001</v>
      </c>
      <c r="P39" s="13">
        <v>4</v>
      </c>
      <c r="Q39">
        <v>9.0250000000000004</v>
      </c>
      <c r="R39" s="15">
        <f t="shared" si="4"/>
        <v>0</v>
      </c>
      <c r="S39" s="13">
        <v>4</v>
      </c>
      <c r="T39">
        <v>4.4042919999999999E-2</v>
      </c>
      <c r="U39" s="15">
        <f t="shared" si="5"/>
        <v>0</v>
      </c>
      <c r="Y39" s="2"/>
    </row>
    <row r="40" spans="1:25" x14ac:dyDescent="0.2">
      <c r="A40" s="16" t="s">
        <v>111</v>
      </c>
      <c r="B40" s="17">
        <v>20</v>
      </c>
      <c r="C40" s="17">
        <v>100</v>
      </c>
      <c r="D40" s="17">
        <v>3</v>
      </c>
      <c r="E40" s="17">
        <v>6</v>
      </c>
      <c r="F40" s="17">
        <f t="shared" si="0"/>
        <v>0</v>
      </c>
      <c r="G40" s="22"/>
      <c r="H40" s="23"/>
      <c r="I40" s="24"/>
      <c r="J40" s="22"/>
      <c r="K40" s="23"/>
      <c r="L40" s="24"/>
      <c r="M40" s="22"/>
      <c r="N40" s="23"/>
      <c r="O40" s="24"/>
      <c r="P40" s="13"/>
      <c r="R40" s="15"/>
      <c r="S40" s="13"/>
      <c r="U40" s="15"/>
      <c r="Y40" s="2"/>
    </row>
    <row r="41" spans="1:25" x14ac:dyDescent="0.2">
      <c r="A41" s="13" t="s">
        <v>112</v>
      </c>
      <c r="B41">
        <v>10</v>
      </c>
      <c r="C41">
        <v>15</v>
      </c>
      <c r="D41">
        <v>2</v>
      </c>
      <c r="E41">
        <v>4</v>
      </c>
      <c r="F41">
        <f t="shared" si="0"/>
        <v>2</v>
      </c>
      <c r="G41" s="13">
        <v>2</v>
      </c>
      <c r="H41">
        <f t="shared" si="1"/>
        <v>0</v>
      </c>
      <c r="I41" s="14">
        <v>0.30199999999999999</v>
      </c>
      <c r="J41" s="13">
        <v>2</v>
      </c>
      <c r="K41">
        <f t="shared" si="2"/>
        <v>0</v>
      </c>
      <c r="L41" s="14">
        <v>0.29699999999999999</v>
      </c>
      <c r="M41" s="13">
        <v>2</v>
      </c>
      <c r="N41">
        <f t="shared" si="3"/>
        <v>0</v>
      </c>
      <c r="O41" s="14">
        <v>0.31</v>
      </c>
      <c r="P41" s="13">
        <v>2</v>
      </c>
      <c r="Q41">
        <v>0.76500000000000001</v>
      </c>
      <c r="R41" s="15">
        <f t="shared" si="4"/>
        <v>0</v>
      </c>
      <c r="S41" s="13">
        <v>2</v>
      </c>
      <c r="T41">
        <v>1.2028046000000001E-2</v>
      </c>
      <c r="U41" s="15">
        <f t="shared" si="5"/>
        <v>0</v>
      </c>
      <c r="Y41" s="2"/>
    </row>
    <row r="42" spans="1:25" x14ac:dyDescent="0.2">
      <c r="A42" s="16" t="s">
        <v>113</v>
      </c>
      <c r="B42" s="17">
        <v>5</v>
      </c>
      <c r="C42" s="17">
        <v>10</v>
      </c>
      <c r="D42" s="17">
        <v>1</v>
      </c>
      <c r="E42" s="17">
        <v>2</v>
      </c>
      <c r="F42" s="17">
        <f t="shared" si="0"/>
        <v>2</v>
      </c>
      <c r="G42" s="16">
        <v>2</v>
      </c>
      <c r="H42" s="17">
        <f t="shared" si="1"/>
        <v>0</v>
      </c>
      <c r="I42" s="18">
        <v>0.25800000000000001</v>
      </c>
      <c r="J42" s="16">
        <v>2</v>
      </c>
      <c r="K42" s="17">
        <f t="shared" si="2"/>
        <v>0</v>
      </c>
      <c r="L42" s="18">
        <v>0.38900000000000001</v>
      </c>
      <c r="M42" s="16">
        <v>2</v>
      </c>
      <c r="N42" s="17">
        <f t="shared" si="3"/>
        <v>0</v>
      </c>
      <c r="O42" s="18">
        <v>0.28000000000000003</v>
      </c>
      <c r="P42" s="13">
        <v>2</v>
      </c>
      <c r="Q42">
        <v>0.121</v>
      </c>
      <c r="R42" s="15">
        <f t="shared" si="4"/>
        <v>0</v>
      </c>
      <c r="S42" s="13">
        <v>2</v>
      </c>
      <c r="T42">
        <v>5.4593970000000004E-3</v>
      </c>
      <c r="U42" s="15">
        <f t="shared" si="5"/>
        <v>0</v>
      </c>
      <c r="Y42" s="2"/>
    </row>
    <row r="43" spans="1:25" x14ac:dyDescent="0.2">
      <c r="A43" s="13" t="s">
        <v>114</v>
      </c>
      <c r="B43">
        <v>10</v>
      </c>
      <c r="C43">
        <v>45</v>
      </c>
      <c r="D43">
        <v>2</v>
      </c>
      <c r="E43">
        <v>4</v>
      </c>
      <c r="F43">
        <f t="shared" si="0"/>
        <v>4</v>
      </c>
      <c r="G43" s="13">
        <v>4</v>
      </c>
      <c r="H43">
        <f t="shared" si="1"/>
        <v>0</v>
      </c>
      <c r="I43" s="14">
        <v>72.456999999999994</v>
      </c>
      <c r="J43" s="13">
        <v>4</v>
      </c>
      <c r="K43">
        <f t="shared" si="2"/>
        <v>0</v>
      </c>
      <c r="L43" s="14">
        <v>72.373000000000005</v>
      </c>
      <c r="M43" s="13">
        <v>4</v>
      </c>
      <c r="N43">
        <f t="shared" si="3"/>
        <v>0</v>
      </c>
      <c r="O43" s="14">
        <v>14.025</v>
      </c>
      <c r="P43" s="13">
        <v>4</v>
      </c>
      <c r="Q43">
        <v>4.149</v>
      </c>
      <c r="R43" s="15">
        <f t="shared" si="4"/>
        <v>0</v>
      </c>
      <c r="S43" s="13">
        <v>4</v>
      </c>
      <c r="T43">
        <v>1.9428032000000001E-2</v>
      </c>
      <c r="U43" s="15">
        <f t="shared" si="5"/>
        <v>0</v>
      </c>
      <c r="Y43" s="2"/>
    </row>
    <row r="44" spans="1:25" x14ac:dyDescent="0.2">
      <c r="A44" s="16" t="s">
        <v>115</v>
      </c>
      <c r="B44" s="17">
        <v>7</v>
      </c>
      <c r="C44" s="17">
        <v>6</v>
      </c>
      <c r="D44" s="17">
        <v>1</v>
      </c>
      <c r="E44" s="17">
        <v>3</v>
      </c>
      <c r="F44" s="17">
        <f t="shared" si="0"/>
        <v>1</v>
      </c>
      <c r="G44" s="16">
        <v>1</v>
      </c>
      <c r="H44" s="17">
        <f t="shared" si="1"/>
        <v>0</v>
      </c>
      <c r="I44" s="18">
        <v>0.23499999999999999</v>
      </c>
      <c r="J44" s="16">
        <v>1</v>
      </c>
      <c r="K44" s="17">
        <f t="shared" si="2"/>
        <v>0</v>
      </c>
      <c r="L44" s="18">
        <v>0.47299999999999998</v>
      </c>
      <c r="M44" s="16">
        <v>1</v>
      </c>
      <c r="N44" s="17">
        <f t="shared" si="3"/>
        <v>0</v>
      </c>
      <c r="O44" s="18">
        <v>0.309</v>
      </c>
      <c r="P44" s="13">
        <v>1</v>
      </c>
      <c r="Q44">
        <v>0.109</v>
      </c>
      <c r="R44" s="15">
        <f t="shared" si="4"/>
        <v>0</v>
      </c>
      <c r="S44" s="13">
        <v>1</v>
      </c>
      <c r="T44">
        <v>6.2003279999999997E-3</v>
      </c>
      <c r="U44" s="15">
        <f t="shared" si="5"/>
        <v>0</v>
      </c>
      <c r="Y44" s="2"/>
    </row>
    <row r="45" spans="1:25" x14ac:dyDescent="0.2">
      <c r="A45" s="13" t="s">
        <v>116</v>
      </c>
      <c r="B45">
        <v>13</v>
      </c>
      <c r="C45">
        <v>12</v>
      </c>
      <c r="D45">
        <v>1</v>
      </c>
      <c r="E45">
        <v>4</v>
      </c>
      <c r="F45">
        <f t="shared" si="0"/>
        <v>2</v>
      </c>
      <c r="G45" s="13">
        <v>2</v>
      </c>
      <c r="H45">
        <f t="shared" si="1"/>
        <v>0</v>
      </c>
      <c r="I45" s="14">
        <v>0.51300000000000001</v>
      </c>
      <c r="J45" s="13">
        <v>2</v>
      </c>
      <c r="K45">
        <f t="shared" si="2"/>
        <v>0</v>
      </c>
      <c r="L45" s="14">
        <v>0.502</v>
      </c>
      <c r="M45" s="13">
        <v>2</v>
      </c>
      <c r="N45">
        <f t="shared" si="3"/>
        <v>0</v>
      </c>
      <c r="O45" s="14">
        <v>0.307</v>
      </c>
      <c r="P45" s="13">
        <v>2</v>
      </c>
      <c r="Q45">
        <v>0.98799999999999999</v>
      </c>
      <c r="R45" s="15">
        <f t="shared" si="4"/>
        <v>0</v>
      </c>
      <c r="S45" s="13">
        <v>2</v>
      </c>
      <c r="T45">
        <v>1.4043363999999999E-2</v>
      </c>
      <c r="U45" s="15">
        <f t="shared" si="5"/>
        <v>0</v>
      </c>
      <c r="Y45" s="2"/>
    </row>
    <row r="46" spans="1:25" x14ac:dyDescent="0.2">
      <c r="A46" s="16" t="s">
        <v>117</v>
      </c>
      <c r="B46" s="17">
        <v>15</v>
      </c>
      <c r="C46" s="17">
        <v>14</v>
      </c>
      <c r="D46" s="17">
        <v>1</v>
      </c>
      <c r="E46" s="17">
        <v>5</v>
      </c>
      <c r="F46" s="17">
        <f t="shared" si="0"/>
        <v>2</v>
      </c>
      <c r="G46" s="16">
        <v>2</v>
      </c>
      <c r="H46" s="17">
        <f t="shared" si="1"/>
        <v>0</v>
      </c>
      <c r="I46" s="18">
        <v>0.64600000000000002</v>
      </c>
      <c r="J46" s="16">
        <v>2</v>
      </c>
      <c r="K46" s="17">
        <f t="shared" si="2"/>
        <v>0</v>
      </c>
      <c r="L46" s="18">
        <v>0.54500000000000004</v>
      </c>
      <c r="M46" s="16">
        <v>2</v>
      </c>
      <c r="N46" s="17">
        <f t="shared" si="3"/>
        <v>0</v>
      </c>
      <c r="O46" s="18">
        <v>0.247</v>
      </c>
      <c r="P46" s="13">
        <v>2</v>
      </c>
      <c r="Q46">
        <v>1.246</v>
      </c>
      <c r="R46" s="15">
        <f t="shared" si="4"/>
        <v>0</v>
      </c>
      <c r="S46" s="13">
        <v>2</v>
      </c>
      <c r="T46">
        <v>2.1022281E-2</v>
      </c>
      <c r="U46" s="15">
        <f t="shared" si="5"/>
        <v>0</v>
      </c>
      <c r="Y46" s="2"/>
    </row>
    <row r="47" spans="1:25" ht="16" thickBot="1" x14ac:dyDescent="0.25">
      <c r="A47" s="25" t="s">
        <v>118</v>
      </c>
      <c r="B47" s="26">
        <v>21</v>
      </c>
      <c r="C47" s="26">
        <v>20</v>
      </c>
      <c r="D47" s="26">
        <v>2</v>
      </c>
      <c r="E47" s="26">
        <v>6</v>
      </c>
      <c r="F47" s="26">
        <f t="shared" si="0"/>
        <v>2</v>
      </c>
      <c r="G47" s="25">
        <v>2</v>
      </c>
      <c r="H47" s="26">
        <f t="shared" si="1"/>
        <v>0</v>
      </c>
      <c r="I47" s="27">
        <v>6805.3389999999999</v>
      </c>
      <c r="J47" s="25">
        <v>2</v>
      </c>
      <c r="K47" s="26">
        <f t="shared" si="2"/>
        <v>0</v>
      </c>
      <c r="L47" s="27">
        <v>735.88099999999997</v>
      </c>
      <c r="M47" s="25">
        <v>2</v>
      </c>
      <c r="N47" s="26">
        <f t="shared" si="3"/>
        <v>0</v>
      </c>
      <c r="O47" s="27">
        <v>546.79</v>
      </c>
      <c r="P47" s="25">
        <v>2</v>
      </c>
      <c r="Q47" s="26">
        <v>5.9279999999999999</v>
      </c>
      <c r="R47" s="28">
        <f t="shared" si="4"/>
        <v>0</v>
      </c>
      <c r="S47" s="25">
        <v>2</v>
      </c>
      <c r="T47" s="26">
        <v>3.7328500000000001E-2</v>
      </c>
      <c r="U47" s="28">
        <f t="shared" si="5"/>
        <v>0</v>
      </c>
      <c r="Y47" s="2"/>
    </row>
    <row r="48" spans="1:25" x14ac:dyDescent="0.2">
      <c r="A48" s="17" t="s">
        <v>119</v>
      </c>
      <c r="B48" s="17"/>
      <c r="C48" s="17"/>
      <c r="D48" s="17"/>
      <c r="E48" s="17"/>
      <c r="F48" s="17"/>
      <c r="G48" s="17">
        <f>AVERAGE(G3:G47)</f>
        <v>2.1707317073170733</v>
      </c>
      <c r="H48" s="17"/>
      <c r="I48" s="17">
        <v>30283.243999999999</v>
      </c>
      <c r="J48" s="17">
        <f>AVERAGE(J3:J47)</f>
        <v>2.1707317073170733</v>
      </c>
      <c r="K48" s="17"/>
      <c r="L48" s="17">
        <v>27447.895</v>
      </c>
      <c r="M48" s="29">
        <f>AVERAGE(M3:M47)</f>
        <v>2.1707317073170733</v>
      </c>
      <c r="N48" s="17">
        <f>AVERAGE(N41:N47)</f>
        <v>0</v>
      </c>
      <c r="O48" s="17">
        <v>24823.64</v>
      </c>
      <c r="P48" s="29">
        <f t="shared" ref="P48:U48" si="6">AVERAGE(P3:P47)</f>
        <v>2.3170731707317072</v>
      </c>
      <c r="Q48" s="30">
        <f t="shared" si="6"/>
        <v>3.640097560975609</v>
      </c>
      <c r="R48" s="31">
        <f t="shared" si="6"/>
        <v>0.12195121951219512</v>
      </c>
      <c r="S48" s="29">
        <f t="shared" si="6"/>
        <v>2.1707317073170733</v>
      </c>
      <c r="T48" s="30">
        <f t="shared" si="6"/>
        <v>2.1414602756097557E-2</v>
      </c>
      <c r="U48" s="31">
        <f t="shared" si="6"/>
        <v>0</v>
      </c>
    </row>
    <row r="49" spans="11:21" x14ac:dyDescent="0.2">
      <c r="K49">
        <f>COUNTIF(K3:K47,0)</f>
        <v>41</v>
      </c>
      <c r="N49">
        <f>COUNTIF(N3:N47,0)</f>
        <v>41</v>
      </c>
      <c r="R49">
        <f>COUNTIF(R3:R47,0)</f>
        <v>35</v>
      </c>
      <c r="U49">
        <f>COUNTIF(U3:U47,0)</f>
        <v>41</v>
      </c>
    </row>
    <row r="51" spans="11:21" x14ac:dyDescent="0.2">
      <c r="O51">
        <f>AVERAGE(O3:O27,O29:O32,O35:O39,O41:O47)</f>
        <v>1957.6505609756086</v>
      </c>
    </row>
    <row r="53" spans="11:21" x14ac:dyDescent="0.2">
      <c r="L53" t="s">
        <v>61</v>
      </c>
      <c r="M53" t="s">
        <v>120</v>
      </c>
      <c r="N53" t="s">
        <v>63</v>
      </c>
    </row>
    <row r="54" spans="11:21" x14ac:dyDescent="0.2">
      <c r="K54" t="s">
        <v>121</v>
      </c>
      <c r="L54">
        <v>2.17</v>
      </c>
      <c r="M54">
        <v>2.3199999999999998</v>
      </c>
      <c r="N54" s="32">
        <v>2.1707317073170733</v>
      </c>
    </row>
    <row r="55" spans="11:21" x14ac:dyDescent="0.2">
      <c r="K55" t="s">
        <v>122</v>
      </c>
      <c r="L55" s="32">
        <v>1957.6505609756086</v>
      </c>
      <c r="M55" s="32">
        <v>3.640097560975609</v>
      </c>
      <c r="N55" s="32">
        <v>2.3451491119047617E-2</v>
      </c>
    </row>
    <row r="56" spans="11:21" x14ac:dyDescent="0.2">
      <c r="K56" t="s">
        <v>123</v>
      </c>
      <c r="L56" s="32">
        <v>0</v>
      </c>
      <c r="M56" s="32">
        <v>0.12195121951219512</v>
      </c>
      <c r="N56">
        <v>0</v>
      </c>
    </row>
    <row r="57" spans="11:21" x14ac:dyDescent="0.2">
      <c r="K57" t="s">
        <v>124</v>
      </c>
      <c r="L57">
        <v>41</v>
      </c>
      <c r="M57">
        <v>35</v>
      </c>
      <c r="N57">
        <v>41</v>
      </c>
    </row>
  </sheetData>
  <sortState xmlns:xlrd2="http://schemas.microsoft.com/office/spreadsheetml/2017/richdata2" ref="Y3:AA47">
    <sortCondition ref="Y3:Y47" customList="p2p3,p3p3,p4p5,p2c3,p3c3,p4c5,c3c3,c3c4,c4c5,k3k4,k4k5,c3k4,c4k5,p3k4,p4k5,path10,path15,path20,cycle10,cycle15,cycle20,wheel5,wheel7,wheel10,wheel15,wheel20,cyclePow10-2,cyclePow15-2,cyclePow20-2,cyclePow10-10,cyclePow15-10,cyclePow20-10,bipartite3-3,bipartite3-4,bipartite4-4,bipartite5-5,bipartite7-8,bipartite10-10,petersen,complete5,complete10,tree2-2,tree2-3,tree3-2,tree2-4"/>
  </sortState>
  <mergeCells count="5">
    <mergeCell ref="G1:I1"/>
    <mergeCell ref="J1:L1"/>
    <mergeCell ref="M1:O1"/>
    <mergeCell ref="P1:R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Raw Results</vt:lpstr>
      <vt:lpstr>Comparativa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Sergio Cavero Díaz</cp:lastModifiedBy>
  <dcterms:created xsi:type="dcterms:W3CDTF">2022-01-10T09:15:13Z</dcterms:created>
  <dcterms:modified xsi:type="dcterms:W3CDTF">2026-01-02T15:18:12Z</dcterms:modified>
</cp:coreProperties>
</file>