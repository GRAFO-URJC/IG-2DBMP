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iocavero/temp_bin/IG-2DBMP/paper/"/>
    </mc:Choice>
  </mc:AlternateContent>
  <xr:revisionPtr revIDLastSave="0" documentId="13_ncr:1_{AF082CC7-C56C-AA49-8813-55E373A7AB5A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Pivot Table" sheetId="1" r:id="rId1"/>
    <sheet name="Raw Results" sheetId="2" r:id="rId2"/>
    <sheet name="Comparison" sheetId="3" r:id="rId3"/>
  </sheets>
  <calcPr calcId="191029"/>
  <pivotCaches>
    <pivotCache cacheId="1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8" i="3" l="1"/>
  <c r="F48" i="3"/>
  <c r="E48" i="3"/>
  <c r="C48" i="3"/>
  <c r="B47" i="3"/>
  <c r="G47" i="3" s="1"/>
  <c r="B46" i="3"/>
  <c r="D46" i="3" s="1"/>
  <c r="B45" i="3"/>
  <c r="G45" i="3" s="1"/>
  <c r="B44" i="3"/>
  <c r="G44" i="3" s="1"/>
  <c r="B43" i="3"/>
  <c r="D43" i="3" s="1"/>
  <c r="B42" i="3"/>
  <c r="D42" i="3" s="1"/>
  <c r="B41" i="3"/>
  <c r="G41" i="3" s="1"/>
  <c r="B40" i="3"/>
  <c r="G40" i="3" s="1"/>
  <c r="B39" i="3"/>
  <c r="G39" i="3" s="1"/>
  <c r="B38" i="3"/>
  <c r="D38" i="3" s="1"/>
  <c r="B37" i="3"/>
  <c r="G37" i="3" s="1"/>
  <c r="B36" i="3"/>
  <c r="G36" i="3" s="1"/>
  <c r="B35" i="3"/>
  <c r="D35" i="3" s="1"/>
  <c r="B34" i="3"/>
  <c r="D34" i="3" s="1"/>
  <c r="B33" i="3"/>
  <c r="G33" i="3" s="1"/>
  <c r="D32" i="3"/>
  <c r="B32" i="3"/>
  <c r="G32" i="3" s="1"/>
  <c r="B31" i="3"/>
  <c r="G31" i="3" s="1"/>
  <c r="B30" i="3"/>
  <c r="D30" i="3" s="1"/>
  <c r="B29" i="3"/>
  <c r="G29" i="3" s="1"/>
  <c r="B28" i="3"/>
  <c r="G28" i="3" s="1"/>
  <c r="B27" i="3"/>
  <c r="D27" i="3" s="1"/>
  <c r="B26" i="3"/>
  <c r="D26" i="3" s="1"/>
  <c r="B25" i="3"/>
  <c r="G25" i="3" s="1"/>
  <c r="B24" i="3"/>
  <c r="G24" i="3" s="1"/>
  <c r="B23" i="3"/>
  <c r="G23" i="3" s="1"/>
  <c r="B22" i="3"/>
  <c r="D22" i="3" s="1"/>
  <c r="B21" i="3"/>
  <c r="G21" i="3" s="1"/>
  <c r="B20" i="3"/>
  <c r="G20" i="3" s="1"/>
  <c r="B19" i="3"/>
  <c r="G19" i="3" s="1"/>
  <c r="D18" i="3"/>
  <c r="B18" i="3"/>
  <c r="G18" i="3" s="1"/>
  <c r="B17" i="3"/>
  <c r="G17" i="3" s="1"/>
  <c r="B16" i="3"/>
  <c r="G16" i="3" s="1"/>
  <c r="B15" i="3"/>
  <c r="G15" i="3" s="1"/>
  <c r="B14" i="3"/>
  <c r="D14" i="3" s="1"/>
  <c r="B13" i="3"/>
  <c r="D13" i="3" s="1"/>
  <c r="D12" i="3"/>
  <c r="B12" i="3"/>
  <c r="G12" i="3" s="1"/>
  <c r="B11" i="3"/>
  <c r="G11" i="3" s="1"/>
  <c r="G10" i="3"/>
  <c r="B10" i="3"/>
  <c r="D10" i="3" s="1"/>
  <c r="B9" i="3"/>
  <c r="G9" i="3" s="1"/>
  <c r="B8" i="3"/>
  <c r="G8" i="3" s="1"/>
  <c r="B7" i="3"/>
  <c r="G7" i="3" s="1"/>
  <c r="B6" i="3"/>
  <c r="D6" i="3" s="1"/>
  <c r="D5" i="3"/>
  <c r="B5" i="3"/>
  <c r="G5" i="3" s="1"/>
  <c r="D4" i="3"/>
  <c r="B4" i="3"/>
  <c r="G4" i="3" s="1"/>
  <c r="B3" i="3"/>
  <c r="I46" i="2" a="1"/>
  <c r="I46" i="2" s="1"/>
  <c r="I45" i="2" a="1"/>
  <c r="I45" i="2" s="1"/>
  <c r="I44" i="2" a="1"/>
  <c r="I44" i="2" s="1"/>
  <c r="I43" i="2" a="1"/>
  <c r="I43" i="2" s="1"/>
  <c r="I42" i="2" a="1"/>
  <c r="I42" i="2" s="1"/>
  <c r="I41" i="2" a="1"/>
  <c r="I41" i="2" s="1"/>
  <c r="I40" i="2" a="1"/>
  <c r="I40" i="2" s="1"/>
  <c r="I39" i="2" a="1"/>
  <c r="I39" i="2" s="1"/>
  <c r="I38" i="2" a="1"/>
  <c r="I38" i="2" s="1"/>
  <c r="I37" i="2" a="1"/>
  <c r="I37" i="2" s="1"/>
  <c r="I36" i="2" a="1"/>
  <c r="I36" i="2" s="1"/>
  <c r="I35" i="2" a="1"/>
  <c r="I35" i="2" s="1"/>
  <c r="I34" i="2" a="1"/>
  <c r="I34" i="2" s="1"/>
  <c r="I33" i="2" a="1"/>
  <c r="I33" i="2" s="1"/>
  <c r="I32" i="2" a="1"/>
  <c r="I32" i="2" s="1"/>
  <c r="I31" i="2" a="1"/>
  <c r="I31" i="2" s="1"/>
  <c r="I30" i="2" a="1"/>
  <c r="I30" i="2" s="1"/>
  <c r="I29" i="2" a="1"/>
  <c r="I29" i="2" s="1"/>
  <c r="I28" i="2" a="1"/>
  <c r="I28" i="2" s="1"/>
  <c r="I27" i="2" a="1"/>
  <c r="I27" i="2" s="1"/>
  <c r="I26" i="2" a="1"/>
  <c r="I26" i="2" s="1"/>
  <c r="I25" i="2" a="1"/>
  <c r="I25" i="2" s="1"/>
  <c r="I24" i="2" a="1"/>
  <c r="I24" i="2" s="1"/>
  <c r="I23" i="2" a="1"/>
  <c r="I23" i="2" s="1"/>
  <c r="I22" i="2" a="1"/>
  <c r="I22" i="2" s="1"/>
  <c r="I21" i="2" a="1"/>
  <c r="I21" i="2" s="1"/>
  <c r="I20" i="2" a="1"/>
  <c r="I20" i="2" s="1"/>
  <c r="I19" i="2" a="1"/>
  <c r="I19" i="2" s="1"/>
  <c r="I18" i="2" a="1"/>
  <c r="I18" i="2" s="1"/>
  <c r="I17" i="2" a="1"/>
  <c r="I17" i="2" s="1"/>
  <c r="I16" i="2" a="1"/>
  <c r="I16" i="2" s="1"/>
  <c r="I15" i="2" a="1"/>
  <c r="I15" i="2" s="1"/>
  <c r="I14" i="2" a="1"/>
  <c r="I14" i="2" s="1"/>
  <c r="I13" i="2" a="1"/>
  <c r="I13" i="2" s="1"/>
  <c r="I12" i="2" a="1"/>
  <c r="I12" i="2" s="1"/>
  <c r="I11" i="2" a="1"/>
  <c r="I11" i="2" s="1"/>
  <c r="I10" i="2" a="1"/>
  <c r="I10" i="2" s="1"/>
  <c r="I9" i="2" a="1"/>
  <c r="I9" i="2" s="1"/>
  <c r="I8" i="2" a="1"/>
  <c r="I8" i="2" s="1"/>
  <c r="I7" i="2" a="1"/>
  <c r="I7" i="2" s="1"/>
  <c r="I6" i="2" a="1"/>
  <c r="I6" i="2" s="1"/>
  <c r="I5" i="2" a="1"/>
  <c r="I5" i="2" s="1"/>
  <c r="I4" i="2" a="1"/>
  <c r="I4" i="2" s="1"/>
  <c r="I3" i="2" a="1"/>
  <c r="I3" i="2" s="1"/>
  <c r="I2" i="2" a="1"/>
  <c r="I2" i="2" s="1"/>
  <c r="D21" i="3" l="1"/>
  <c r="D45" i="3"/>
  <c r="D29" i="3"/>
  <c r="D40" i="3"/>
  <c r="G34" i="3"/>
  <c r="D8" i="3"/>
  <c r="G13" i="3"/>
  <c r="G26" i="3"/>
  <c r="D36" i="3"/>
  <c r="D24" i="3"/>
  <c r="D28" i="3"/>
  <c r="D37" i="3"/>
  <c r="B48" i="3"/>
  <c r="D16" i="3"/>
  <c r="D20" i="3"/>
  <c r="G42" i="3"/>
  <c r="D3" i="3"/>
  <c r="G6" i="3"/>
  <c r="D9" i="3"/>
  <c r="G14" i="3"/>
  <c r="D17" i="3"/>
  <c r="G22" i="3"/>
  <c r="D25" i="3"/>
  <c r="G30" i="3"/>
  <c r="D33" i="3"/>
  <c r="G38" i="3"/>
  <c r="D41" i="3"/>
  <c r="G46" i="3"/>
  <c r="D19" i="3"/>
  <c r="D44" i="3"/>
  <c r="G3" i="3"/>
  <c r="G27" i="3"/>
  <c r="G35" i="3"/>
  <c r="G43" i="3"/>
  <c r="D7" i="3"/>
  <c r="D15" i="3"/>
  <c r="D23" i="3"/>
  <c r="D31" i="3"/>
  <c r="D39" i="3"/>
  <c r="D47" i="3"/>
  <c r="D11" i="3"/>
  <c r="H40" i="2"/>
  <c r="G40" i="2"/>
  <c r="H39" i="2"/>
  <c r="G39" i="2"/>
  <c r="H24" i="2"/>
  <c r="G24" i="2"/>
  <c r="H9" i="2"/>
  <c r="G9" i="2"/>
  <c r="H25" i="2"/>
  <c r="G25" i="2"/>
  <c r="H10" i="2"/>
  <c r="G10" i="2"/>
  <c r="H18" i="2"/>
  <c r="G18" i="2"/>
  <c r="H26" i="2"/>
  <c r="G26" i="2"/>
  <c r="H34" i="2"/>
  <c r="G34" i="2"/>
  <c r="H42" i="2"/>
  <c r="G42" i="2"/>
  <c r="H15" i="2"/>
  <c r="G15" i="2"/>
  <c r="H32" i="2"/>
  <c r="G32" i="2"/>
  <c r="H17" i="2"/>
  <c r="G17" i="2"/>
  <c r="H11" i="2"/>
  <c r="G11" i="2"/>
  <c r="H19" i="2"/>
  <c r="G19" i="2"/>
  <c r="H27" i="2"/>
  <c r="G27" i="2"/>
  <c r="H35" i="2"/>
  <c r="G35" i="2"/>
  <c r="H43" i="2"/>
  <c r="G43" i="2"/>
  <c r="H20" i="2"/>
  <c r="G20" i="2"/>
  <c r="H7" i="2"/>
  <c r="G7" i="2"/>
  <c r="H31" i="2"/>
  <c r="G31" i="2"/>
  <c r="H16" i="2"/>
  <c r="G16" i="2"/>
  <c r="H33" i="2"/>
  <c r="G33" i="2"/>
  <c r="H5" i="2"/>
  <c r="G5" i="2"/>
  <c r="H21" i="2"/>
  <c r="G21" i="2"/>
  <c r="H37" i="2"/>
  <c r="G37" i="2"/>
  <c r="H45" i="2"/>
  <c r="G45" i="2"/>
  <c r="H23" i="2"/>
  <c r="G23" i="2"/>
  <c r="H8" i="2"/>
  <c r="G8" i="2"/>
  <c r="H41" i="2"/>
  <c r="G41" i="2"/>
  <c r="H2" i="2"/>
  <c r="G2" i="2"/>
  <c r="H3" i="2"/>
  <c r="G3" i="2"/>
  <c r="H4" i="2"/>
  <c r="G4" i="2"/>
  <c r="H12" i="2"/>
  <c r="G12" i="2"/>
  <c r="H28" i="2"/>
  <c r="G28" i="2"/>
  <c r="H36" i="2"/>
  <c r="G36" i="2"/>
  <c r="H44" i="2"/>
  <c r="G44" i="2"/>
  <c r="H13" i="2"/>
  <c r="G13" i="2"/>
  <c r="H29" i="2"/>
  <c r="G29" i="2"/>
  <c r="H6" i="2"/>
  <c r="G6" i="2"/>
  <c r="H14" i="2"/>
  <c r="G14" i="2"/>
  <c r="H22" i="2"/>
  <c r="G22" i="2"/>
  <c r="H30" i="2"/>
  <c r="G30" i="2"/>
  <c r="H38" i="2"/>
  <c r="G38" i="2"/>
  <c r="H46" i="2"/>
  <c r="G46" i="2"/>
  <c r="G49" i="3" l="1"/>
  <c r="G48" i="3"/>
  <c r="D48" i="3"/>
  <c r="D49" i="3"/>
</calcChain>
</file>

<file path=xl/sharedStrings.xml><?xml version="1.0" encoding="utf-8"?>
<sst xmlns="http://schemas.openxmlformats.org/spreadsheetml/2006/main" count="212" uniqueCount="69">
  <si>
    <t>Instance Name</t>
  </si>
  <si>
    <t>Algorithm Name</t>
  </si>
  <si>
    <t>Iteration</t>
  </si>
  <si>
    <t>Score</t>
  </si>
  <si>
    <t>Total Time (s)</t>
  </si>
  <si>
    <t>Time to Best (s)</t>
  </si>
  <si>
    <t>Is Best Known?</t>
  </si>
  <si>
    <t>% Dev. to best known</t>
  </si>
  <si>
    <t>Best value known</t>
  </si>
  <si>
    <t>494_bus</t>
  </si>
  <si>
    <t>IG{McAl-C{It=1500pOV=1.0w1s=[1.0]}-RandomDestruction-GreedyFORec-[LSFirst{neig=[EfSwpIntArNg], comp=TDBMPEfficientMoveComparator}]-300-225-true}</t>
  </si>
  <si>
    <t>662_bus</t>
  </si>
  <si>
    <t>685_bus</t>
  </si>
  <si>
    <t>ash292</t>
  </si>
  <si>
    <t>bcspwr03</t>
  </si>
  <si>
    <t>bcspwr04</t>
  </si>
  <si>
    <t>bcspwr05</t>
  </si>
  <si>
    <t>bcsstk01</t>
  </si>
  <si>
    <t>bcsstk04</t>
  </si>
  <si>
    <t>bcsstk05</t>
  </si>
  <si>
    <t>bcsstk07</t>
  </si>
  <si>
    <t>bcsstk19</t>
  </si>
  <si>
    <t>bcsstk20</t>
  </si>
  <si>
    <t>bcsstk22</t>
  </si>
  <si>
    <t>can__144</t>
  </si>
  <si>
    <t>can__161</t>
  </si>
  <si>
    <t>can__229</t>
  </si>
  <si>
    <t>can__292</t>
  </si>
  <si>
    <t>can__445</t>
  </si>
  <si>
    <t>can__715</t>
  </si>
  <si>
    <t>can___62</t>
  </si>
  <si>
    <t>dwt__198</t>
  </si>
  <si>
    <t>dwt__209</t>
  </si>
  <si>
    <t>dwt__221</t>
  </si>
  <si>
    <t>dwt__234</t>
  </si>
  <si>
    <t>dwt__245</t>
  </si>
  <si>
    <t>dwt__307</t>
  </si>
  <si>
    <t>dwt__310</t>
  </si>
  <si>
    <t>dwt__361</t>
  </si>
  <si>
    <t>dwt__503</t>
  </si>
  <si>
    <t>dwt__607</t>
  </si>
  <si>
    <t>dwt__758</t>
  </si>
  <si>
    <t>dwt__878</t>
  </si>
  <si>
    <t>dwt__918</t>
  </si>
  <si>
    <t>gr_30_30</t>
  </si>
  <si>
    <t>lshp_265</t>
  </si>
  <si>
    <t>lshp_577</t>
  </si>
  <si>
    <t>lshp_778</t>
  </si>
  <si>
    <t>nos1</t>
  </si>
  <si>
    <t>nos2</t>
  </si>
  <si>
    <t>nos3</t>
  </si>
  <si>
    <t>nos4</t>
  </si>
  <si>
    <t>nos6</t>
  </si>
  <si>
    <t>nos7</t>
  </si>
  <si>
    <t>plat362</t>
  </si>
  <si>
    <t>hasBest</t>
  </si>
  <si>
    <t>Min. %Dev2Best</t>
  </si>
  <si>
    <t>Promedio de Score</t>
  </si>
  <si>
    <t>Promedio de Total Time (s)</t>
  </si>
  <si>
    <t>Instance</t>
  </si>
  <si>
    <t>State of the art (BVNS)</t>
  </si>
  <si>
    <t>Min.</t>
  </si>
  <si>
    <t>O.F.</t>
  </si>
  <si>
    <t>Desv</t>
  </si>
  <si>
    <t>T(s)</t>
  </si>
  <si>
    <t>Column Labels</t>
  </si>
  <si>
    <t>(blank)</t>
  </si>
  <si>
    <t>Row Labels</t>
  </si>
  <si>
    <t>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</si>
</sst>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medium">
        <color indexed="64"/>
      </left>
      <right/>
      <top style="thin">
        <color theme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/>
      </top>
      <bottom style="medium">
        <color indexed="64"/>
      </bottom>
      <diagonal/>
    </border>
    <border>
      <left/>
      <right/>
      <top style="thin">
        <color theme="9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0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0" fontId="0" fillId="0" borderId="3" xfId="0" applyNumberFormat="1" applyBorder="1" applyAlignment="1">
      <alignment horizontal="right" vertical="center"/>
    </xf>
    <xf numFmtId="0" fontId="0" fillId="0" borderId="10" xfId="0" applyBorder="1" applyAlignment="1">
      <alignment vertical="center"/>
    </xf>
    <xf numFmtId="10" fontId="0" fillId="0" borderId="11" xfId="0" applyNumberFormat="1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10" fontId="0" fillId="0" borderId="14" xfId="0" applyNumberFormat="1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  <xf numFmtId="0" fontId="0" fillId="0" borderId="2" xfId="0" applyBorder="1"/>
    <xf numFmtId="0" fontId="0" fillId="0" borderId="8" xfId="0" applyBorder="1"/>
    <xf numFmtId="0" fontId="0" fillId="0" borderId="16" xfId="0" applyBorder="1"/>
    <xf numFmtId="2" fontId="0" fillId="0" borderId="9" xfId="0" applyNumberFormat="1" applyBorder="1"/>
    <xf numFmtId="2" fontId="0" fillId="0" borderId="15" xfId="0" applyNumberFormat="1" applyBorder="1"/>
    <xf numFmtId="2" fontId="0" fillId="0" borderId="17" xfId="0" applyNumberFormat="1" applyBorder="1"/>
    <xf numFmtId="0" fontId="0" fillId="0" borderId="1" xfId="0" applyBorder="1" applyAlignment="1">
      <alignment horizontal="left" vertical="top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ergio Cavero" refreshedDate="46024.678765856479" createdVersion="3" refreshedVersion="8" minRefreshableVersion="3" recordCount="46" xr:uid="{00000000-000A-0000-FFFF-FFFF02000000}">
  <cacheSource type="worksheet">
    <worksheetSource ref="A1:I65536" sheet="Raw Results"/>
  </cacheSource>
  <cacheFields count="9">
    <cacheField name="Instance Name" numFmtId="0">
      <sharedItems containsBlank="1" count="46">
        <s v="494_bus"/>
        <s v="662_bus"/>
        <s v="685_bus"/>
        <s v="ash292"/>
        <s v="bcspwr03"/>
        <s v="bcspwr04"/>
        <s v="bcspwr05"/>
        <s v="bcsstk01"/>
        <s v="bcsstk04"/>
        <s v="bcsstk05"/>
        <s v="bcsstk07"/>
        <s v="bcsstk19"/>
        <s v="bcsstk20"/>
        <s v="bcsstk22"/>
        <s v="can__144"/>
        <s v="can__161"/>
        <s v="can__229"/>
        <s v="can__292"/>
        <s v="can__445"/>
        <s v="can__715"/>
        <s v="can___62"/>
        <s v="dwt__198"/>
        <s v="dwt__209"/>
        <s v="dwt__221"/>
        <s v="dwt__234"/>
        <s v="dwt__245"/>
        <s v="dwt__307"/>
        <s v="dwt__310"/>
        <s v="dwt__361"/>
        <s v="dwt__503"/>
        <s v="dwt__607"/>
        <s v="dwt__758"/>
        <s v="dwt__878"/>
        <s v="dwt__918"/>
        <s v="gr_30_30"/>
        <s v="lshp_265"/>
        <s v="lshp_577"/>
        <s v="lshp_778"/>
        <s v="nos1"/>
        <s v="nos2"/>
        <s v="nos3"/>
        <s v="nos4"/>
        <s v="nos6"/>
        <s v="nos7"/>
        <s v="plat362"/>
        <m/>
      </sharedItems>
    </cacheField>
    <cacheField name="Algorithm Name" numFmtId="0">
      <sharedItems containsBlank="1" count="2">
        <s v="IG{McAl-C{It=1500pOV=1.0w1s=[1.0]}-RandomDestruction-GreedyFORec-[LSFirst{neig=[EfSwpIntArNg], comp=TDBMPEfficientMoveComparator}]-300-225-true}"/>
        <m/>
      </sharedItems>
    </cacheField>
    <cacheField name="Iteration" numFmtId="0">
      <sharedItems containsString="0" containsBlank="1" containsNumber="1" containsInteger="1" minValue="0" maxValue="0"/>
    </cacheField>
    <cacheField name="Score" numFmtId="0">
      <sharedItems containsString="0" containsBlank="1" containsNumber="1" containsInteger="1" minValue="2" maxValue="8"/>
    </cacheField>
    <cacheField name="Total Time (s)" numFmtId="0">
      <sharedItems containsString="0" containsBlank="1" containsNumber="1" minValue="0.21867178000000001" maxValue="1032.947226561"/>
    </cacheField>
    <cacheField name="Time to Best (s)" numFmtId="0">
      <sharedItems containsString="0" containsBlank="1" containsNumber="1" minValue="0.12925952900000001" maxValue="470.45326810099999"/>
    </cacheField>
    <cacheField name="Is Best Known?" numFmtId="0">
      <sharedItems containsString="0" containsBlank="1" containsNumber="1" containsInteger="1" minValue="1" maxValue="1"/>
    </cacheField>
    <cacheField name="% Dev. to best known" numFmtId="0">
      <sharedItems containsString="0" containsBlank="1" containsNumber="1" containsInteger="1" minValue="0" maxValue="0"/>
    </cacheField>
    <cacheField name="Best value known" numFmtId="0">
      <sharedItems containsString="0" containsBlank="1" containsNumber="1" containsInteger="1" minValue="2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n v="0"/>
    <n v="5"/>
    <n v="41.647164455000002"/>
    <n v="6.2558590609999998"/>
    <n v="1"/>
    <n v="0"/>
    <n v="5"/>
  </r>
  <r>
    <x v="1"/>
    <x v="0"/>
    <n v="0"/>
    <n v="5"/>
    <n v="56.826384459000003"/>
    <n v="15.635069223"/>
    <n v="1"/>
    <n v="0"/>
    <n v="5"/>
  </r>
  <r>
    <x v="2"/>
    <x v="0"/>
    <n v="0"/>
    <n v="5"/>
    <n v="51.322978069999998"/>
    <n v="11.281648799999999"/>
    <n v="1"/>
    <n v="0"/>
    <n v="5"/>
  </r>
  <r>
    <x v="3"/>
    <x v="0"/>
    <n v="0"/>
    <n v="4"/>
    <n v="9.8368276730000002"/>
    <n v="2.7731331699999999"/>
    <n v="1"/>
    <n v="0"/>
    <n v="4"/>
  </r>
  <r>
    <x v="4"/>
    <x v="0"/>
    <n v="0"/>
    <n v="3"/>
    <n v="0.97196936099999998"/>
    <n v="0.48551384199999997"/>
    <n v="1"/>
    <n v="0"/>
    <n v="3"/>
  </r>
  <r>
    <x v="5"/>
    <x v="0"/>
    <n v="0"/>
    <n v="4"/>
    <n v="13.051265654"/>
    <n v="2.2580724110000001"/>
    <n v="1"/>
    <n v="0"/>
    <n v="4"/>
  </r>
  <r>
    <x v="6"/>
    <x v="0"/>
    <n v="0"/>
    <n v="5"/>
    <n v="29.516721920999998"/>
    <n v="4.7539272429999997"/>
    <n v="1"/>
    <n v="0"/>
    <n v="5"/>
  </r>
  <r>
    <x v="7"/>
    <x v="0"/>
    <n v="0"/>
    <n v="5"/>
    <n v="0.34554927800000002"/>
    <n v="0.12925952900000001"/>
    <n v="1"/>
    <n v="0"/>
    <n v="5"/>
  </r>
  <r>
    <x v="8"/>
    <x v="0"/>
    <n v="0"/>
    <n v="8"/>
    <n v="33.244644043000001"/>
    <n v="24.927779694000002"/>
    <n v="1"/>
    <n v="0"/>
    <n v="8"/>
  </r>
  <r>
    <x v="9"/>
    <x v="0"/>
    <n v="0"/>
    <n v="7"/>
    <n v="13.822295048000001"/>
    <n v="1.293199306"/>
    <n v="1"/>
    <n v="0"/>
    <n v="7"/>
  </r>
  <r>
    <x v="10"/>
    <x v="0"/>
    <n v="0"/>
    <n v="6"/>
    <n v="298.41781679100001"/>
    <n v="176.92824777999999"/>
    <n v="1"/>
    <n v="0"/>
    <n v="6"/>
  </r>
  <r>
    <x v="11"/>
    <x v="0"/>
    <n v="0"/>
    <n v="6"/>
    <n v="399.648275162"/>
    <n v="189.97194306599999"/>
    <n v="1"/>
    <n v="0"/>
    <n v="6"/>
  </r>
  <r>
    <x v="12"/>
    <x v="0"/>
    <n v="0"/>
    <n v="4"/>
    <n v="39.747468265999998"/>
    <n v="7.2100755909999998"/>
    <n v="1"/>
    <n v="0"/>
    <n v="4"/>
  </r>
  <r>
    <x v="13"/>
    <x v="0"/>
    <n v="0"/>
    <n v="3"/>
    <n v="1.761163043"/>
    <n v="0.570005031"/>
    <n v="1"/>
    <n v="0"/>
    <n v="3"/>
  </r>
  <r>
    <x v="14"/>
    <x v="0"/>
    <n v="0"/>
    <n v="4"/>
    <n v="2.8400645959999999"/>
    <n v="1.2666122689999999"/>
    <n v="1"/>
    <n v="0"/>
    <n v="4"/>
  </r>
  <r>
    <x v="15"/>
    <x v="0"/>
    <n v="0"/>
    <n v="4"/>
    <n v="4.3096071570000003"/>
    <n v="1.1614794850000001"/>
    <n v="1"/>
    <n v="0"/>
    <n v="4"/>
  </r>
  <r>
    <x v="16"/>
    <x v="0"/>
    <n v="0"/>
    <n v="5"/>
    <n v="11.653323574"/>
    <n v="1.5615568710000001"/>
    <n v="1"/>
    <n v="0"/>
    <n v="5"/>
  </r>
  <r>
    <x v="17"/>
    <x v="0"/>
    <n v="0"/>
    <n v="6"/>
    <n v="31.819483951999999"/>
    <n v="3.3544970269999999"/>
    <n v="1"/>
    <n v="0"/>
    <n v="6"/>
  </r>
  <r>
    <x v="18"/>
    <x v="0"/>
    <n v="0"/>
    <n v="7"/>
    <n v="59.744012298000001"/>
    <n v="6.2135754680000002"/>
    <n v="1"/>
    <n v="0"/>
    <n v="7"/>
  </r>
  <r>
    <x v="19"/>
    <x v="0"/>
    <n v="0"/>
    <n v="8"/>
    <n v="698.92833899599998"/>
    <n v="470.45326810099999"/>
    <n v="1"/>
    <n v="0"/>
    <n v="8"/>
  </r>
  <r>
    <x v="20"/>
    <x v="0"/>
    <n v="0"/>
    <n v="2"/>
    <n v="0.21867178000000001"/>
    <n v="0.15984084000000001"/>
    <n v="1"/>
    <n v="0"/>
    <n v="2"/>
  </r>
  <r>
    <x v="21"/>
    <x v="0"/>
    <n v="0"/>
    <n v="4"/>
    <n v="6.4905888100000002"/>
    <n v="1.256555265"/>
    <n v="1"/>
    <n v="0"/>
    <n v="4"/>
  </r>
  <r>
    <x v="22"/>
    <x v="0"/>
    <n v="0"/>
    <n v="5"/>
    <n v="12.954125075"/>
    <n v="1.8055055289999999"/>
    <n v="1"/>
    <n v="0"/>
    <n v="5"/>
  </r>
  <r>
    <x v="23"/>
    <x v="0"/>
    <n v="0"/>
    <n v="4"/>
    <n v="7.2557800119999998"/>
    <n v="1.8897464690000001"/>
    <n v="1"/>
    <n v="0"/>
    <n v="4"/>
  </r>
  <r>
    <x v="24"/>
    <x v="0"/>
    <n v="0"/>
    <n v="4"/>
    <n v="11.45629941"/>
    <n v="1.4354804830000001"/>
    <n v="1"/>
    <n v="0"/>
    <n v="4"/>
  </r>
  <r>
    <x v="25"/>
    <x v="0"/>
    <n v="0"/>
    <n v="4"/>
    <n v="8.6908769909999997"/>
    <n v="2.5564044739999998"/>
    <n v="1"/>
    <n v="0"/>
    <n v="4"/>
  </r>
  <r>
    <x v="26"/>
    <x v="0"/>
    <n v="0"/>
    <n v="5"/>
    <n v="25.232789555"/>
    <n v="2.5019763780000002"/>
    <n v="1"/>
    <n v="0"/>
    <n v="5"/>
  </r>
  <r>
    <x v="27"/>
    <x v="0"/>
    <n v="0"/>
    <n v="4"/>
    <n v="10.782104653999999"/>
    <n v="3.4996689289999998"/>
    <n v="1"/>
    <n v="0"/>
    <n v="4"/>
  </r>
  <r>
    <x v="28"/>
    <x v="0"/>
    <n v="0"/>
    <n v="5"/>
    <n v="25.447069843000001"/>
    <n v="3.947622762"/>
    <n v="1"/>
    <n v="0"/>
    <n v="5"/>
  </r>
  <r>
    <x v="29"/>
    <x v="0"/>
    <n v="0"/>
    <n v="6"/>
    <n v="83.158384045999995"/>
    <n v="25.404934803"/>
    <n v="1"/>
    <n v="0"/>
    <n v="6"/>
  </r>
  <r>
    <x v="30"/>
    <x v="0"/>
    <n v="0"/>
    <n v="5"/>
    <n v="107.65782275799999"/>
    <n v="32.777865614"/>
    <n v="1"/>
    <n v="0"/>
    <n v="5"/>
  </r>
  <r>
    <x v="31"/>
    <x v="0"/>
    <n v="0"/>
    <n v="5"/>
    <n v="127.150741098"/>
    <n v="17.305269615"/>
    <n v="1"/>
    <n v="0"/>
    <n v="5"/>
  </r>
  <r>
    <x v="32"/>
    <x v="0"/>
    <n v="0"/>
    <n v="5"/>
    <n v="192.829797805"/>
    <n v="17.154604923000001"/>
    <n v="1"/>
    <n v="0"/>
    <n v="5"/>
  </r>
  <r>
    <x v="33"/>
    <x v="0"/>
    <n v="0"/>
    <n v="6"/>
    <n v="431.27755520599999"/>
    <n v="394.25593071899999"/>
    <n v="1"/>
    <n v="0"/>
    <n v="6"/>
  </r>
  <r>
    <x v="34"/>
    <x v="0"/>
    <n v="0"/>
    <n v="2"/>
    <n v="45.412847651"/>
    <n v="9.8294543819999998"/>
    <n v="1"/>
    <n v="0"/>
    <n v="2"/>
  </r>
  <r>
    <x v="35"/>
    <x v="0"/>
    <n v="0"/>
    <n v="3"/>
    <n v="9.3116127389999992"/>
    <n v="2.9883682309999999"/>
    <n v="1"/>
    <n v="0"/>
    <n v="3"/>
  </r>
  <r>
    <x v="36"/>
    <x v="0"/>
    <n v="0"/>
    <n v="5"/>
    <n v="63.923080826000003"/>
    <n v="7.5171453799999997"/>
    <n v="1"/>
    <n v="0"/>
    <n v="5"/>
  </r>
  <r>
    <x v="37"/>
    <x v="0"/>
    <n v="0"/>
    <n v="4"/>
    <n v="142.284091722"/>
    <n v="18.494006807000002"/>
    <n v="1"/>
    <n v="0"/>
    <n v="4"/>
  </r>
  <r>
    <x v="38"/>
    <x v="0"/>
    <n v="0"/>
    <n v="3"/>
    <n v="4.6844494860000001"/>
    <n v="1.5523026230000001"/>
    <n v="1"/>
    <n v="0"/>
    <n v="3"/>
  </r>
  <r>
    <x v="39"/>
    <x v="0"/>
    <n v="0"/>
    <n v="4"/>
    <n v="106.141455291"/>
    <n v="20.642712203999999"/>
    <n v="1"/>
    <n v="0"/>
    <n v="4"/>
  </r>
  <r>
    <x v="40"/>
    <x v="0"/>
    <n v="0"/>
    <n v="7"/>
    <n v="1032.947226561"/>
    <n v="80.378958476999998"/>
    <n v="1"/>
    <n v="0"/>
    <n v="7"/>
  </r>
  <r>
    <x v="41"/>
    <x v="0"/>
    <n v="0"/>
    <n v="4"/>
    <n v="1.126949757"/>
    <n v="0.37272702099999999"/>
    <n v="1"/>
    <n v="0"/>
    <n v="4"/>
  </r>
  <r>
    <x v="42"/>
    <x v="0"/>
    <n v="0"/>
    <n v="5"/>
    <n v="49.941519759999998"/>
    <n v="12.419156064999999"/>
    <n v="1"/>
    <n v="0"/>
    <n v="5"/>
  </r>
  <r>
    <x v="43"/>
    <x v="0"/>
    <n v="0"/>
    <n v="6"/>
    <n v="174.52043679799999"/>
    <n v="16.512852110000001"/>
    <n v="1"/>
    <n v="0"/>
    <n v="6"/>
  </r>
  <r>
    <x v="44"/>
    <x v="0"/>
    <n v="0"/>
    <n v="7"/>
    <n v="110.02614367"/>
    <n v="4.3769882009999996"/>
    <n v="1"/>
    <n v="0"/>
    <n v="7"/>
  </r>
  <r>
    <x v="45"/>
    <x v="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3" indent="0" multipleFieldFilters="0">
  <location ref="A1:I49" firstHeaderRow="1" firstDataRow="3" firstDataCol="1"/>
  <pivotFields count="9">
    <pivotField axis="axisRow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showAll="0"/>
    <pivotField dataField="1" showAll="0"/>
    <pivotField showAll="0"/>
    <pivotField dataField="1" showAll="0"/>
    <pivotField dataField="1" showAll="0"/>
    <pivotField showAll="0"/>
  </pivotFields>
  <rowFields count="1">
    <field x="0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</rowItems>
  <colFields count="2">
    <field x="1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dataFields count="4">
    <dataField name="Promedio de Score" fld="3" subtotal="average" baseField="1" baseItem="0"/>
    <dataField name="Promedio de Total Time (s)" fld="4" subtotal="average" baseField="1" baseItem="0"/>
    <dataField name="hasBest" fld="6" subtotal="max" baseField="0" baseItem="0"/>
    <dataField name="Min. %Dev2Best" fld="7" subtotal="min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workbookViewId="0">
      <selection activeCell="B57" sqref="B57"/>
    </sheetView>
  </sheetViews>
  <sheetFormatPr baseColWidth="10" defaultColWidth="8.6640625" defaultRowHeight="15" x14ac:dyDescent="0.2"/>
  <cols>
    <col min="1" max="1" width="12.1640625" bestFit="1" customWidth="1"/>
    <col min="2" max="2" width="128.83203125" bestFit="1" customWidth="1"/>
    <col min="3" max="3" width="21.83203125" bestFit="1" customWidth="1"/>
    <col min="4" max="4" width="7" bestFit="1" customWidth="1"/>
    <col min="5" max="5" width="13.83203125" bestFit="1" customWidth="1"/>
    <col min="6" max="6" width="15.83203125" bestFit="1" customWidth="1"/>
    <col min="7" max="7" width="21.83203125" bestFit="1" customWidth="1"/>
    <col min="8" max="8" width="7" bestFit="1" customWidth="1"/>
    <col min="9" max="9" width="13.83203125" bestFit="1" customWidth="1"/>
  </cols>
  <sheetData>
    <row r="1" spans="1:9" x14ac:dyDescent="0.2">
      <c r="B1" s="1" t="s">
        <v>65</v>
      </c>
    </row>
    <row r="2" spans="1:9" x14ac:dyDescent="0.2">
      <c r="B2" t="s">
        <v>10</v>
      </c>
      <c r="F2" t="s">
        <v>66</v>
      </c>
    </row>
    <row r="3" spans="1:9" x14ac:dyDescent="0.2">
      <c r="A3" s="1" t="s">
        <v>67</v>
      </c>
      <c r="B3" t="s">
        <v>57</v>
      </c>
      <c r="C3" t="s">
        <v>58</v>
      </c>
      <c r="D3" t="s">
        <v>55</v>
      </c>
      <c r="E3" t="s">
        <v>56</v>
      </c>
      <c r="F3" t="s">
        <v>57</v>
      </c>
      <c r="G3" t="s">
        <v>58</v>
      </c>
      <c r="H3" t="s">
        <v>55</v>
      </c>
      <c r="I3" t="s">
        <v>56</v>
      </c>
    </row>
    <row r="4" spans="1:9" x14ac:dyDescent="0.2">
      <c r="A4" s="2" t="s">
        <v>9</v>
      </c>
      <c r="B4" s="29">
        <v>5</v>
      </c>
      <c r="C4" s="29">
        <v>41.647164455000002</v>
      </c>
      <c r="D4" s="29">
        <v>1</v>
      </c>
      <c r="E4" s="29">
        <v>0</v>
      </c>
      <c r="F4" s="29"/>
      <c r="G4" s="29"/>
      <c r="H4" s="29"/>
      <c r="I4" s="29"/>
    </row>
    <row r="5" spans="1:9" x14ac:dyDescent="0.2">
      <c r="A5" s="2" t="s">
        <v>11</v>
      </c>
      <c r="B5" s="29">
        <v>5</v>
      </c>
      <c r="C5" s="29">
        <v>56.826384459000003</v>
      </c>
      <c r="D5" s="29">
        <v>1</v>
      </c>
      <c r="E5" s="29">
        <v>0</v>
      </c>
      <c r="F5" s="29"/>
      <c r="G5" s="29"/>
      <c r="H5" s="29"/>
      <c r="I5" s="29"/>
    </row>
    <row r="6" spans="1:9" x14ac:dyDescent="0.2">
      <c r="A6" s="2" t="s">
        <v>12</v>
      </c>
      <c r="B6" s="29">
        <v>5</v>
      </c>
      <c r="C6" s="29">
        <v>51.322978069999998</v>
      </c>
      <c r="D6" s="29">
        <v>1</v>
      </c>
      <c r="E6" s="29">
        <v>0</v>
      </c>
      <c r="F6" s="29"/>
      <c r="G6" s="29"/>
      <c r="H6" s="29"/>
      <c r="I6" s="29"/>
    </row>
    <row r="7" spans="1:9" x14ac:dyDescent="0.2">
      <c r="A7" s="2" t="s">
        <v>13</v>
      </c>
      <c r="B7" s="29">
        <v>4</v>
      </c>
      <c r="C7" s="29">
        <v>9.8368276730000002</v>
      </c>
      <c r="D7" s="29">
        <v>1</v>
      </c>
      <c r="E7" s="29">
        <v>0</v>
      </c>
      <c r="F7" s="29"/>
      <c r="G7" s="29"/>
      <c r="H7" s="29"/>
      <c r="I7" s="29"/>
    </row>
    <row r="8" spans="1:9" x14ac:dyDescent="0.2">
      <c r="A8" s="2" t="s">
        <v>14</v>
      </c>
      <c r="B8" s="29">
        <v>3</v>
      </c>
      <c r="C8" s="29">
        <v>0.97196936099999998</v>
      </c>
      <c r="D8" s="29">
        <v>1</v>
      </c>
      <c r="E8" s="29">
        <v>0</v>
      </c>
      <c r="F8" s="29"/>
      <c r="G8" s="29"/>
      <c r="H8" s="29"/>
      <c r="I8" s="29"/>
    </row>
    <row r="9" spans="1:9" x14ac:dyDescent="0.2">
      <c r="A9" s="2" t="s">
        <v>15</v>
      </c>
      <c r="B9" s="29">
        <v>4</v>
      </c>
      <c r="C9" s="29">
        <v>13.051265654</v>
      </c>
      <c r="D9" s="29">
        <v>1</v>
      </c>
      <c r="E9" s="29">
        <v>0</v>
      </c>
      <c r="F9" s="29"/>
      <c r="G9" s="29"/>
      <c r="H9" s="29"/>
      <c r="I9" s="29"/>
    </row>
    <row r="10" spans="1:9" x14ac:dyDescent="0.2">
      <c r="A10" s="2" t="s">
        <v>16</v>
      </c>
      <c r="B10" s="29">
        <v>5</v>
      </c>
      <c r="C10" s="29">
        <v>29.516721920999998</v>
      </c>
      <c r="D10" s="29">
        <v>1</v>
      </c>
      <c r="E10" s="29">
        <v>0</v>
      </c>
      <c r="F10" s="29"/>
      <c r="G10" s="29"/>
      <c r="H10" s="29"/>
      <c r="I10" s="29"/>
    </row>
    <row r="11" spans="1:9" x14ac:dyDescent="0.2">
      <c r="A11" s="2" t="s">
        <v>17</v>
      </c>
      <c r="B11" s="29">
        <v>5</v>
      </c>
      <c r="C11" s="29">
        <v>0.34554927800000002</v>
      </c>
      <c r="D11" s="29">
        <v>1</v>
      </c>
      <c r="E11" s="29">
        <v>0</v>
      </c>
      <c r="F11" s="29"/>
      <c r="G11" s="29"/>
      <c r="H11" s="29"/>
      <c r="I11" s="29"/>
    </row>
    <row r="12" spans="1:9" x14ac:dyDescent="0.2">
      <c r="A12" s="2" t="s">
        <v>18</v>
      </c>
      <c r="B12" s="29">
        <v>8</v>
      </c>
      <c r="C12" s="29">
        <v>33.244644043000001</v>
      </c>
      <c r="D12" s="29">
        <v>1</v>
      </c>
      <c r="E12" s="29">
        <v>0</v>
      </c>
      <c r="F12" s="29"/>
      <c r="G12" s="29"/>
      <c r="H12" s="29"/>
      <c r="I12" s="29"/>
    </row>
    <row r="13" spans="1:9" x14ac:dyDescent="0.2">
      <c r="A13" s="2" t="s">
        <v>19</v>
      </c>
      <c r="B13" s="29">
        <v>7</v>
      </c>
      <c r="C13" s="29">
        <v>13.822295048000001</v>
      </c>
      <c r="D13" s="29">
        <v>1</v>
      </c>
      <c r="E13" s="29">
        <v>0</v>
      </c>
      <c r="F13" s="29"/>
      <c r="G13" s="29"/>
      <c r="H13" s="29"/>
      <c r="I13" s="29"/>
    </row>
    <row r="14" spans="1:9" x14ac:dyDescent="0.2">
      <c r="A14" s="2" t="s">
        <v>20</v>
      </c>
      <c r="B14" s="29">
        <v>6</v>
      </c>
      <c r="C14" s="29">
        <v>298.41781679100001</v>
      </c>
      <c r="D14" s="29">
        <v>1</v>
      </c>
      <c r="E14" s="29">
        <v>0</v>
      </c>
      <c r="F14" s="29"/>
      <c r="G14" s="29"/>
      <c r="H14" s="29"/>
      <c r="I14" s="29"/>
    </row>
    <row r="15" spans="1:9" x14ac:dyDescent="0.2">
      <c r="A15" s="2" t="s">
        <v>21</v>
      </c>
      <c r="B15" s="29">
        <v>6</v>
      </c>
      <c r="C15" s="29">
        <v>399.648275162</v>
      </c>
      <c r="D15" s="29">
        <v>1</v>
      </c>
      <c r="E15" s="29">
        <v>0</v>
      </c>
      <c r="F15" s="29"/>
      <c r="G15" s="29"/>
      <c r="H15" s="29"/>
      <c r="I15" s="29"/>
    </row>
    <row r="16" spans="1:9" x14ac:dyDescent="0.2">
      <c r="A16" s="2" t="s">
        <v>22</v>
      </c>
      <c r="B16" s="29">
        <v>4</v>
      </c>
      <c r="C16" s="29">
        <v>39.747468265999998</v>
      </c>
      <c r="D16" s="29">
        <v>1</v>
      </c>
      <c r="E16" s="29">
        <v>0</v>
      </c>
      <c r="F16" s="29"/>
      <c r="G16" s="29"/>
      <c r="H16" s="29"/>
      <c r="I16" s="29"/>
    </row>
    <row r="17" spans="1:9" x14ac:dyDescent="0.2">
      <c r="A17" s="2" t="s">
        <v>23</v>
      </c>
      <c r="B17" s="29">
        <v>3</v>
      </c>
      <c r="C17" s="29">
        <v>1.761163043</v>
      </c>
      <c r="D17" s="29">
        <v>1</v>
      </c>
      <c r="E17" s="29">
        <v>0</v>
      </c>
      <c r="F17" s="29"/>
      <c r="G17" s="29"/>
      <c r="H17" s="29"/>
      <c r="I17" s="29"/>
    </row>
    <row r="18" spans="1:9" x14ac:dyDescent="0.2">
      <c r="A18" s="2" t="s">
        <v>24</v>
      </c>
      <c r="B18" s="29">
        <v>4</v>
      </c>
      <c r="C18" s="29">
        <v>2.8400645959999999</v>
      </c>
      <c r="D18" s="29">
        <v>1</v>
      </c>
      <c r="E18" s="29">
        <v>0</v>
      </c>
      <c r="F18" s="29"/>
      <c r="G18" s="29"/>
      <c r="H18" s="29"/>
      <c r="I18" s="29"/>
    </row>
    <row r="19" spans="1:9" x14ac:dyDescent="0.2">
      <c r="A19" s="2" t="s">
        <v>25</v>
      </c>
      <c r="B19" s="29">
        <v>4</v>
      </c>
      <c r="C19" s="29">
        <v>4.3096071570000003</v>
      </c>
      <c r="D19" s="29">
        <v>1</v>
      </c>
      <c r="E19" s="29">
        <v>0</v>
      </c>
      <c r="F19" s="29"/>
      <c r="G19" s="29"/>
      <c r="H19" s="29"/>
      <c r="I19" s="29"/>
    </row>
    <row r="20" spans="1:9" x14ac:dyDescent="0.2">
      <c r="A20" s="2" t="s">
        <v>26</v>
      </c>
      <c r="B20" s="29">
        <v>5</v>
      </c>
      <c r="C20" s="29">
        <v>11.653323574</v>
      </c>
      <c r="D20" s="29">
        <v>1</v>
      </c>
      <c r="E20" s="29">
        <v>0</v>
      </c>
      <c r="F20" s="29"/>
      <c r="G20" s="29"/>
      <c r="H20" s="29"/>
      <c r="I20" s="29"/>
    </row>
    <row r="21" spans="1:9" x14ac:dyDescent="0.2">
      <c r="A21" s="2" t="s">
        <v>27</v>
      </c>
      <c r="B21" s="29">
        <v>6</v>
      </c>
      <c r="C21" s="29">
        <v>31.819483951999999</v>
      </c>
      <c r="D21" s="29">
        <v>1</v>
      </c>
      <c r="E21" s="29">
        <v>0</v>
      </c>
      <c r="F21" s="29"/>
      <c r="G21" s="29"/>
      <c r="H21" s="29"/>
      <c r="I21" s="29"/>
    </row>
    <row r="22" spans="1:9" x14ac:dyDescent="0.2">
      <c r="A22" s="2" t="s">
        <v>28</v>
      </c>
      <c r="B22" s="29">
        <v>7</v>
      </c>
      <c r="C22" s="29">
        <v>59.744012298000001</v>
      </c>
      <c r="D22" s="29">
        <v>1</v>
      </c>
      <c r="E22" s="29">
        <v>0</v>
      </c>
      <c r="F22" s="29"/>
      <c r="G22" s="29"/>
      <c r="H22" s="29"/>
      <c r="I22" s="29"/>
    </row>
    <row r="23" spans="1:9" x14ac:dyDescent="0.2">
      <c r="A23" s="2" t="s">
        <v>29</v>
      </c>
      <c r="B23" s="29">
        <v>8</v>
      </c>
      <c r="C23" s="29">
        <v>698.92833899599998</v>
      </c>
      <c r="D23" s="29">
        <v>1</v>
      </c>
      <c r="E23" s="29">
        <v>0</v>
      </c>
      <c r="F23" s="29"/>
      <c r="G23" s="29"/>
      <c r="H23" s="29"/>
      <c r="I23" s="29"/>
    </row>
    <row r="24" spans="1:9" x14ac:dyDescent="0.2">
      <c r="A24" s="2" t="s">
        <v>30</v>
      </c>
      <c r="B24" s="29">
        <v>2</v>
      </c>
      <c r="C24" s="29">
        <v>0.21867178000000001</v>
      </c>
      <c r="D24" s="29">
        <v>1</v>
      </c>
      <c r="E24" s="29">
        <v>0</v>
      </c>
      <c r="F24" s="29"/>
      <c r="G24" s="29"/>
      <c r="H24" s="29"/>
      <c r="I24" s="29"/>
    </row>
    <row r="25" spans="1:9" x14ac:dyDescent="0.2">
      <c r="A25" s="2" t="s">
        <v>31</v>
      </c>
      <c r="B25" s="29">
        <v>4</v>
      </c>
      <c r="C25" s="29">
        <v>6.4905888100000002</v>
      </c>
      <c r="D25" s="29">
        <v>1</v>
      </c>
      <c r="E25" s="29">
        <v>0</v>
      </c>
      <c r="F25" s="29"/>
      <c r="G25" s="29"/>
      <c r="H25" s="29"/>
      <c r="I25" s="29"/>
    </row>
    <row r="26" spans="1:9" x14ac:dyDescent="0.2">
      <c r="A26" s="2" t="s">
        <v>32</v>
      </c>
      <c r="B26" s="29">
        <v>5</v>
      </c>
      <c r="C26" s="29">
        <v>12.954125075</v>
      </c>
      <c r="D26" s="29">
        <v>1</v>
      </c>
      <c r="E26" s="29">
        <v>0</v>
      </c>
      <c r="F26" s="29"/>
      <c r="G26" s="29"/>
      <c r="H26" s="29"/>
      <c r="I26" s="29"/>
    </row>
    <row r="27" spans="1:9" x14ac:dyDescent="0.2">
      <c r="A27" s="2" t="s">
        <v>33</v>
      </c>
      <c r="B27" s="29">
        <v>4</v>
      </c>
      <c r="C27" s="29">
        <v>7.2557800119999998</v>
      </c>
      <c r="D27" s="29">
        <v>1</v>
      </c>
      <c r="E27" s="29">
        <v>0</v>
      </c>
      <c r="F27" s="29"/>
      <c r="G27" s="29"/>
      <c r="H27" s="29"/>
      <c r="I27" s="29"/>
    </row>
    <row r="28" spans="1:9" x14ac:dyDescent="0.2">
      <c r="A28" s="2" t="s">
        <v>34</v>
      </c>
      <c r="B28" s="29">
        <v>4</v>
      </c>
      <c r="C28" s="29">
        <v>11.45629941</v>
      </c>
      <c r="D28" s="29">
        <v>1</v>
      </c>
      <c r="E28" s="29">
        <v>0</v>
      </c>
      <c r="F28" s="29"/>
      <c r="G28" s="29"/>
      <c r="H28" s="29"/>
      <c r="I28" s="29"/>
    </row>
    <row r="29" spans="1:9" x14ac:dyDescent="0.2">
      <c r="A29" s="2" t="s">
        <v>35</v>
      </c>
      <c r="B29" s="29">
        <v>4</v>
      </c>
      <c r="C29" s="29">
        <v>8.6908769909999997</v>
      </c>
      <c r="D29" s="29">
        <v>1</v>
      </c>
      <c r="E29" s="29">
        <v>0</v>
      </c>
      <c r="F29" s="29"/>
      <c r="G29" s="29"/>
      <c r="H29" s="29"/>
      <c r="I29" s="29"/>
    </row>
    <row r="30" spans="1:9" x14ac:dyDescent="0.2">
      <c r="A30" s="2" t="s">
        <v>36</v>
      </c>
      <c r="B30" s="29">
        <v>5</v>
      </c>
      <c r="C30" s="29">
        <v>25.232789555</v>
      </c>
      <c r="D30" s="29">
        <v>1</v>
      </c>
      <c r="E30" s="29">
        <v>0</v>
      </c>
      <c r="F30" s="29"/>
      <c r="G30" s="29"/>
      <c r="H30" s="29"/>
      <c r="I30" s="29"/>
    </row>
    <row r="31" spans="1:9" x14ac:dyDescent="0.2">
      <c r="A31" s="2" t="s">
        <v>37</v>
      </c>
      <c r="B31" s="29">
        <v>4</v>
      </c>
      <c r="C31" s="29">
        <v>10.782104653999999</v>
      </c>
      <c r="D31" s="29">
        <v>1</v>
      </c>
      <c r="E31" s="29">
        <v>0</v>
      </c>
      <c r="F31" s="29"/>
      <c r="G31" s="29"/>
      <c r="H31" s="29"/>
      <c r="I31" s="29"/>
    </row>
    <row r="32" spans="1:9" x14ac:dyDescent="0.2">
      <c r="A32" s="2" t="s">
        <v>38</v>
      </c>
      <c r="B32" s="29">
        <v>5</v>
      </c>
      <c r="C32" s="29">
        <v>25.447069843000001</v>
      </c>
      <c r="D32" s="29">
        <v>1</v>
      </c>
      <c r="E32" s="29">
        <v>0</v>
      </c>
      <c r="F32" s="29"/>
      <c r="G32" s="29"/>
      <c r="H32" s="29"/>
      <c r="I32" s="29"/>
    </row>
    <row r="33" spans="1:9" x14ac:dyDescent="0.2">
      <c r="A33" s="2" t="s">
        <v>39</v>
      </c>
      <c r="B33" s="29">
        <v>6</v>
      </c>
      <c r="C33" s="29">
        <v>83.158384045999995</v>
      </c>
      <c r="D33" s="29">
        <v>1</v>
      </c>
      <c r="E33" s="29">
        <v>0</v>
      </c>
      <c r="F33" s="29"/>
      <c r="G33" s="29"/>
      <c r="H33" s="29"/>
      <c r="I33" s="29"/>
    </row>
    <row r="34" spans="1:9" x14ac:dyDescent="0.2">
      <c r="A34" s="2" t="s">
        <v>40</v>
      </c>
      <c r="B34" s="29">
        <v>5</v>
      </c>
      <c r="C34" s="29">
        <v>107.65782275799999</v>
      </c>
      <c r="D34" s="29">
        <v>1</v>
      </c>
      <c r="E34" s="29">
        <v>0</v>
      </c>
      <c r="F34" s="29"/>
      <c r="G34" s="29"/>
      <c r="H34" s="29"/>
      <c r="I34" s="29"/>
    </row>
    <row r="35" spans="1:9" x14ac:dyDescent="0.2">
      <c r="A35" s="2" t="s">
        <v>41</v>
      </c>
      <c r="B35" s="29">
        <v>5</v>
      </c>
      <c r="C35" s="29">
        <v>127.150741098</v>
      </c>
      <c r="D35" s="29">
        <v>1</v>
      </c>
      <c r="E35" s="29">
        <v>0</v>
      </c>
      <c r="F35" s="29"/>
      <c r="G35" s="29"/>
      <c r="H35" s="29"/>
      <c r="I35" s="29"/>
    </row>
    <row r="36" spans="1:9" x14ac:dyDescent="0.2">
      <c r="A36" s="2" t="s">
        <v>42</v>
      </c>
      <c r="B36" s="29">
        <v>5</v>
      </c>
      <c r="C36" s="29">
        <v>192.829797805</v>
      </c>
      <c r="D36" s="29">
        <v>1</v>
      </c>
      <c r="E36" s="29">
        <v>0</v>
      </c>
      <c r="F36" s="29"/>
      <c r="G36" s="29"/>
      <c r="H36" s="29"/>
      <c r="I36" s="29"/>
    </row>
    <row r="37" spans="1:9" x14ac:dyDescent="0.2">
      <c r="A37" s="2" t="s">
        <v>43</v>
      </c>
      <c r="B37" s="29">
        <v>6</v>
      </c>
      <c r="C37" s="29">
        <v>431.27755520599999</v>
      </c>
      <c r="D37" s="29">
        <v>1</v>
      </c>
      <c r="E37" s="29">
        <v>0</v>
      </c>
      <c r="F37" s="29"/>
      <c r="G37" s="29"/>
      <c r="H37" s="29"/>
      <c r="I37" s="29"/>
    </row>
    <row r="38" spans="1:9" x14ac:dyDescent="0.2">
      <c r="A38" s="2" t="s">
        <v>44</v>
      </c>
      <c r="B38" s="29">
        <v>2</v>
      </c>
      <c r="C38" s="29">
        <v>45.412847651</v>
      </c>
      <c r="D38" s="29">
        <v>1</v>
      </c>
      <c r="E38" s="29">
        <v>0</v>
      </c>
      <c r="F38" s="29"/>
      <c r="G38" s="29"/>
      <c r="H38" s="29"/>
      <c r="I38" s="29"/>
    </row>
    <row r="39" spans="1:9" x14ac:dyDescent="0.2">
      <c r="A39" s="2" t="s">
        <v>45</v>
      </c>
      <c r="B39" s="29">
        <v>3</v>
      </c>
      <c r="C39" s="29">
        <v>9.3116127389999992</v>
      </c>
      <c r="D39" s="29">
        <v>1</v>
      </c>
      <c r="E39" s="29">
        <v>0</v>
      </c>
      <c r="F39" s="29"/>
      <c r="G39" s="29"/>
      <c r="H39" s="29"/>
      <c r="I39" s="29"/>
    </row>
    <row r="40" spans="1:9" x14ac:dyDescent="0.2">
      <c r="A40" s="2" t="s">
        <v>46</v>
      </c>
      <c r="B40" s="29">
        <v>5</v>
      </c>
      <c r="C40" s="29">
        <v>63.923080826000003</v>
      </c>
      <c r="D40" s="29">
        <v>1</v>
      </c>
      <c r="E40" s="29">
        <v>0</v>
      </c>
      <c r="F40" s="29"/>
      <c r="G40" s="29"/>
      <c r="H40" s="29"/>
      <c r="I40" s="29"/>
    </row>
    <row r="41" spans="1:9" x14ac:dyDescent="0.2">
      <c r="A41" s="2" t="s">
        <v>47</v>
      </c>
      <c r="B41" s="29">
        <v>4</v>
      </c>
      <c r="C41" s="29">
        <v>142.284091722</v>
      </c>
      <c r="D41" s="29">
        <v>1</v>
      </c>
      <c r="E41" s="29">
        <v>0</v>
      </c>
      <c r="F41" s="29"/>
      <c r="G41" s="29"/>
      <c r="H41" s="29"/>
      <c r="I41" s="29"/>
    </row>
    <row r="42" spans="1:9" x14ac:dyDescent="0.2">
      <c r="A42" s="2" t="s">
        <v>48</v>
      </c>
      <c r="B42" s="29">
        <v>3</v>
      </c>
      <c r="C42" s="29">
        <v>4.6844494860000001</v>
      </c>
      <c r="D42" s="29">
        <v>1</v>
      </c>
      <c r="E42" s="29">
        <v>0</v>
      </c>
      <c r="F42" s="29"/>
      <c r="G42" s="29"/>
      <c r="H42" s="29"/>
      <c r="I42" s="29"/>
    </row>
    <row r="43" spans="1:9" x14ac:dyDescent="0.2">
      <c r="A43" s="2" t="s">
        <v>49</v>
      </c>
      <c r="B43" s="29">
        <v>4</v>
      </c>
      <c r="C43" s="29">
        <v>106.141455291</v>
      </c>
      <c r="D43" s="29">
        <v>1</v>
      </c>
      <c r="E43" s="29">
        <v>0</v>
      </c>
      <c r="F43" s="29"/>
      <c r="G43" s="29"/>
      <c r="H43" s="29"/>
      <c r="I43" s="29"/>
    </row>
    <row r="44" spans="1:9" x14ac:dyDescent="0.2">
      <c r="A44" s="2" t="s">
        <v>50</v>
      </c>
      <c r="B44" s="29">
        <v>7</v>
      </c>
      <c r="C44" s="29">
        <v>1032.947226561</v>
      </c>
      <c r="D44" s="29">
        <v>1</v>
      </c>
      <c r="E44" s="29">
        <v>0</v>
      </c>
      <c r="F44" s="29"/>
      <c r="G44" s="29"/>
      <c r="H44" s="29"/>
      <c r="I44" s="29"/>
    </row>
    <row r="45" spans="1:9" x14ac:dyDescent="0.2">
      <c r="A45" s="2" t="s">
        <v>51</v>
      </c>
      <c r="B45" s="29">
        <v>4</v>
      </c>
      <c r="C45" s="29">
        <v>1.126949757</v>
      </c>
      <c r="D45" s="29">
        <v>1</v>
      </c>
      <c r="E45" s="29">
        <v>0</v>
      </c>
      <c r="F45" s="29"/>
      <c r="G45" s="29"/>
      <c r="H45" s="29"/>
      <c r="I45" s="29"/>
    </row>
    <row r="46" spans="1:9" x14ac:dyDescent="0.2">
      <c r="A46" s="2" t="s">
        <v>52</v>
      </c>
      <c r="B46" s="29">
        <v>5</v>
      </c>
      <c r="C46" s="29">
        <v>49.941519759999998</v>
      </c>
      <c r="D46" s="29">
        <v>1</v>
      </c>
      <c r="E46" s="29">
        <v>0</v>
      </c>
      <c r="F46" s="29"/>
      <c r="G46" s="29"/>
      <c r="H46" s="29"/>
      <c r="I46" s="29"/>
    </row>
    <row r="47" spans="1:9" x14ac:dyDescent="0.2">
      <c r="A47" s="2" t="s">
        <v>53</v>
      </c>
      <c r="B47" s="29">
        <v>6</v>
      </c>
      <c r="C47" s="29">
        <v>174.52043679799999</v>
      </c>
      <c r="D47" s="29">
        <v>1</v>
      </c>
      <c r="E47" s="29">
        <v>0</v>
      </c>
      <c r="F47" s="29"/>
      <c r="G47" s="29"/>
      <c r="H47" s="29"/>
      <c r="I47" s="29"/>
    </row>
    <row r="48" spans="1:9" x14ac:dyDescent="0.2">
      <c r="A48" s="2" t="s">
        <v>54</v>
      </c>
      <c r="B48" s="29">
        <v>7</v>
      </c>
      <c r="C48" s="29">
        <v>110.02614367</v>
      </c>
      <c r="D48" s="29">
        <v>1</v>
      </c>
      <c r="E48" s="29">
        <v>0</v>
      </c>
      <c r="F48" s="29"/>
      <c r="G48" s="29"/>
      <c r="H48" s="29"/>
      <c r="I48" s="29"/>
    </row>
    <row r="49" spans="1:9" x14ac:dyDescent="0.2">
      <c r="A49" s="2" t="s">
        <v>66</v>
      </c>
      <c r="B49" s="29"/>
      <c r="C49" s="29"/>
      <c r="D49" s="29"/>
      <c r="E49" s="29"/>
      <c r="F49" s="29"/>
      <c r="G49" s="29"/>
      <c r="H49" s="29"/>
      <c r="I49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tabSelected="1" workbookViewId="0"/>
  </sheetViews>
  <sheetFormatPr baseColWidth="10" defaultColWidth="8.66406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0</v>
      </c>
      <c r="D2">
        <v>5</v>
      </c>
      <c r="E2">
        <v>41.647164455000002</v>
      </c>
      <c r="F2">
        <v>6.2558590609999998</v>
      </c>
      <c r="G2">
        <f t="shared" ref="G2:G46" si="0">IF(I2=D2,1,0)</f>
        <v>1</v>
      </c>
      <c r="H2">
        <f t="shared" ref="H2:H46" si="1">ABS(D2-I2)/I2</f>
        <v>0</v>
      </c>
      <c r="I2">
        <f t="array" ref="I2">MIN(IF(A:A=A2,D:D))</f>
        <v>5</v>
      </c>
    </row>
    <row r="3" spans="1:9" x14ac:dyDescent="0.2">
      <c r="A3" t="s">
        <v>11</v>
      </c>
      <c r="B3" t="s">
        <v>10</v>
      </c>
      <c r="C3">
        <v>0</v>
      </c>
      <c r="D3">
        <v>5</v>
      </c>
      <c r="E3">
        <v>56.826384459000003</v>
      </c>
      <c r="F3">
        <v>15.635069223</v>
      </c>
      <c r="G3">
        <f t="shared" si="0"/>
        <v>1</v>
      </c>
      <c r="H3">
        <f t="shared" si="1"/>
        <v>0</v>
      </c>
      <c r="I3">
        <f t="array" ref="I3">MIN(IF(A:A=A3,D:D))</f>
        <v>5</v>
      </c>
    </row>
    <row r="4" spans="1:9" x14ac:dyDescent="0.2">
      <c r="A4" t="s">
        <v>12</v>
      </c>
      <c r="B4" t="s">
        <v>10</v>
      </c>
      <c r="C4">
        <v>0</v>
      </c>
      <c r="D4">
        <v>5</v>
      </c>
      <c r="E4">
        <v>51.322978069999998</v>
      </c>
      <c r="F4">
        <v>11.281648799999999</v>
      </c>
      <c r="G4">
        <f t="shared" si="0"/>
        <v>1</v>
      </c>
      <c r="H4">
        <f t="shared" si="1"/>
        <v>0</v>
      </c>
      <c r="I4">
        <f t="array" ref="I4">MIN(IF(A:A=A4,D:D))</f>
        <v>5</v>
      </c>
    </row>
    <row r="5" spans="1:9" x14ac:dyDescent="0.2">
      <c r="A5" t="s">
        <v>13</v>
      </c>
      <c r="B5" t="s">
        <v>10</v>
      </c>
      <c r="C5">
        <v>0</v>
      </c>
      <c r="D5">
        <v>4</v>
      </c>
      <c r="E5">
        <v>9.8368276730000002</v>
      </c>
      <c r="F5">
        <v>2.7731331699999999</v>
      </c>
      <c r="G5">
        <f t="shared" si="0"/>
        <v>1</v>
      </c>
      <c r="H5">
        <f t="shared" si="1"/>
        <v>0</v>
      </c>
      <c r="I5">
        <f t="array" ref="I5">MIN(IF(A:A=A5,D:D))</f>
        <v>4</v>
      </c>
    </row>
    <row r="6" spans="1:9" x14ac:dyDescent="0.2">
      <c r="A6" t="s">
        <v>14</v>
      </c>
      <c r="B6" t="s">
        <v>10</v>
      </c>
      <c r="C6">
        <v>0</v>
      </c>
      <c r="D6">
        <v>3</v>
      </c>
      <c r="E6">
        <v>0.97196936099999998</v>
      </c>
      <c r="F6">
        <v>0.48551384199999997</v>
      </c>
      <c r="G6">
        <f t="shared" si="0"/>
        <v>1</v>
      </c>
      <c r="H6">
        <f t="shared" si="1"/>
        <v>0</v>
      </c>
      <c r="I6">
        <f t="array" ref="I6">MIN(IF(A:A=A6,D:D))</f>
        <v>3</v>
      </c>
    </row>
    <row r="7" spans="1:9" x14ac:dyDescent="0.2">
      <c r="A7" t="s">
        <v>15</v>
      </c>
      <c r="B7" t="s">
        <v>10</v>
      </c>
      <c r="C7">
        <v>0</v>
      </c>
      <c r="D7">
        <v>4</v>
      </c>
      <c r="E7">
        <v>13.051265654</v>
      </c>
      <c r="F7">
        <v>2.2580724110000001</v>
      </c>
      <c r="G7">
        <f t="shared" si="0"/>
        <v>1</v>
      </c>
      <c r="H7">
        <f t="shared" si="1"/>
        <v>0</v>
      </c>
      <c r="I7">
        <f t="array" ref="I7">MIN(IF(A:A=A7,D:D))</f>
        <v>4</v>
      </c>
    </row>
    <row r="8" spans="1:9" x14ac:dyDescent="0.2">
      <c r="A8" t="s">
        <v>16</v>
      </c>
      <c r="B8" t="s">
        <v>10</v>
      </c>
      <c r="C8">
        <v>0</v>
      </c>
      <c r="D8">
        <v>5</v>
      </c>
      <c r="E8">
        <v>29.516721920999998</v>
      </c>
      <c r="F8">
        <v>4.7539272429999997</v>
      </c>
      <c r="G8">
        <f t="shared" si="0"/>
        <v>1</v>
      </c>
      <c r="H8">
        <f t="shared" si="1"/>
        <v>0</v>
      </c>
      <c r="I8">
        <f t="array" ref="I8">MIN(IF(A:A=A8,D:D))</f>
        <v>5</v>
      </c>
    </row>
    <row r="9" spans="1:9" x14ac:dyDescent="0.2">
      <c r="A9" t="s">
        <v>17</v>
      </c>
      <c r="B9" t="s">
        <v>10</v>
      </c>
      <c r="C9">
        <v>0</v>
      </c>
      <c r="D9">
        <v>5</v>
      </c>
      <c r="E9">
        <v>0.34554927800000002</v>
      </c>
      <c r="F9">
        <v>0.12925952900000001</v>
      </c>
      <c r="G9">
        <f t="shared" si="0"/>
        <v>1</v>
      </c>
      <c r="H9">
        <f t="shared" si="1"/>
        <v>0</v>
      </c>
      <c r="I9">
        <f t="array" ref="I9">MIN(IF(A:A=A9,D:D))</f>
        <v>5</v>
      </c>
    </row>
    <row r="10" spans="1:9" x14ac:dyDescent="0.2">
      <c r="A10" t="s">
        <v>18</v>
      </c>
      <c r="B10" t="s">
        <v>10</v>
      </c>
      <c r="C10">
        <v>0</v>
      </c>
      <c r="D10">
        <v>8</v>
      </c>
      <c r="E10">
        <v>33.244644043000001</v>
      </c>
      <c r="F10">
        <v>24.927779694000002</v>
      </c>
      <c r="G10">
        <f t="shared" si="0"/>
        <v>1</v>
      </c>
      <c r="H10">
        <f t="shared" si="1"/>
        <v>0</v>
      </c>
      <c r="I10">
        <f t="array" ref="I10">MIN(IF(A:A=A10,D:D))</f>
        <v>8</v>
      </c>
    </row>
    <row r="11" spans="1:9" x14ac:dyDescent="0.2">
      <c r="A11" t="s">
        <v>19</v>
      </c>
      <c r="B11" t="s">
        <v>10</v>
      </c>
      <c r="C11">
        <v>0</v>
      </c>
      <c r="D11">
        <v>7</v>
      </c>
      <c r="E11">
        <v>13.822295048000001</v>
      </c>
      <c r="F11">
        <v>1.293199306</v>
      </c>
      <c r="G11">
        <f t="shared" si="0"/>
        <v>1</v>
      </c>
      <c r="H11">
        <f t="shared" si="1"/>
        <v>0</v>
      </c>
      <c r="I11">
        <f t="array" ref="I11">MIN(IF(A:A=A11,D:D))</f>
        <v>7</v>
      </c>
    </row>
    <row r="12" spans="1:9" x14ac:dyDescent="0.2">
      <c r="A12" t="s">
        <v>20</v>
      </c>
      <c r="B12" t="s">
        <v>10</v>
      </c>
      <c r="C12">
        <v>0</v>
      </c>
      <c r="D12">
        <v>6</v>
      </c>
      <c r="E12">
        <v>298.41781679100001</v>
      </c>
      <c r="F12">
        <v>176.92824777999999</v>
      </c>
      <c r="G12">
        <f t="shared" si="0"/>
        <v>1</v>
      </c>
      <c r="H12">
        <f t="shared" si="1"/>
        <v>0</v>
      </c>
      <c r="I12">
        <f t="array" ref="I12">MIN(IF(A:A=A12,D:D))</f>
        <v>6</v>
      </c>
    </row>
    <row r="13" spans="1:9" x14ac:dyDescent="0.2">
      <c r="A13" t="s">
        <v>21</v>
      </c>
      <c r="B13" t="s">
        <v>10</v>
      </c>
      <c r="C13">
        <v>0</v>
      </c>
      <c r="D13">
        <v>6</v>
      </c>
      <c r="E13">
        <v>399.648275162</v>
      </c>
      <c r="F13">
        <v>189.97194306599999</v>
      </c>
      <c r="G13">
        <f t="shared" si="0"/>
        <v>1</v>
      </c>
      <c r="H13">
        <f t="shared" si="1"/>
        <v>0</v>
      </c>
      <c r="I13">
        <f t="array" ref="I13">MIN(IF(A:A=A13,D:D))</f>
        <v>6</v>
      </c>
    </row>
    <row r="14" spans="1:9" x14ac:dyDescent="0.2">
      <c r="A14" t="s">
        <v>22</v>
      </c>
      <c r="B14" t="s">
        <v>10</v>
      </c>
      <c r="C14">
        <v>0</v>
      </c>
      <c r="D14">
        <v>4</v>
      </c>
      <c r="E14">
        <v>39.747468265999998</v>
      </c>
      <c r="F14">
        <v>7.2100755909999998</v>
      </c>
      <c r="G14">
        <f t="shared" si="0"/>
        <v>1</v>
      </c>
      <c r="H14">
        <f t="shared" si="1"/>
        <v>0</v>
      </c>
      <c r="I14">
        <f t="array" ref="I14">MIN(IF(A:A=A14,D:D))</f>
        <v>4</v>
      </c>
    </row>
    <row r="15" spans="1:9" x14ac:dyDescent="0.2">
      <c r="A15" t="s">
        <v>23</v>
      </c>
      <c r="B15" t="s">
        <v>10</v>
      </c>
      <c r="C15">
        <v>0</v>
      </c>
      <c r="D15">
        <v>3</v>
      </c>
      <c r="E15">
        <v>1.761163043</v>
      </c>
      <c r="F15">
        <v>0.570005031</v>
      </c>
      <c r="G15">
        <f t="shared" si="0"/>
        <v>1</v>
      </c>
      <c r="H15">
        <f t="shared" si="1"/>
        <v>0</v>
      </c>
      <c r="I15">
        <f t="array" ref="I15">MIN(IF(A:A=A15,D:D))</f>
        <v>3</v>
      </c>
    </row>
    <row r="16" spans="1:9" x14ac:dyDescent="0.2">
      <c r="A16" t="s">
        <v>24</v>
      </c>
      <c r="B16" t="s">
        <v>10</v>
      </c>
      <c r="C16">
        <v>0</v>
      </c>
      <c r="D16">
        <v>4</v>
      </c>
      <c r="E16">
        <v>2.8400645959999999</v>
      </c>
      <c r="F16">
        <v>1.2666122689999999</v>
      </c>
      <c r="G16">
        <f t="shared" si="0"/>
        <v>1</v>
      </c>
      <c r="H16">
        <f t="shared" si="1"/>
        <v>0</v>
      </c>
      <c r="I16">
        <f t="array" ref="I16">MIN(IF(A:A=A16,D:D))</f>
        <v>4</v>
      </c>
    </row>
    <row r="17" spans="1:9" x14ac:dyDescent="0.2">
      <c r="A17" t="s">
        <v>25</v>
      </c>
      <c r="B17" t="s">
        <v>10</v>
      </c>
      <c r="C17">
        <v>0</v>
      </c>
      <c r="D17">
        <v>4</v>
      </c>
      <c r="E17">
        <v>4.3096071570000003</v>
      </c>
      <c r="F17">
        <v>1.1614794850000001</v>
      </c>
      <c r="G17">
        <f t="shared" si="0"/>
        <v>1</v>
      </c>
      <c r="H17">
        <f t="shared" si="1"/>
        <v>0</v>
      </c>
      <c r="I17">
        <f t="array" ref="I17">MIN(IF(A:A=A17,D:D))</f>
        <v>4</v>
      </c>
    </row>
    <row r="18" spans="1:9" x14ac:dyDescent="0.2">
      <c r="A18" t="s">
        <v>26</v>
      </c>
      <c r="B18" t="s">
        <v>10</v>
      </c>
      <c r="C18">
        <v>0</v>
      </c>
      <c r="D18">
        <v>5</v>
      </c>
      <c r="E18">
        <v>11.653323574</v>
      </c>
      <c r="F18">
        <v>1.5615568710000001</v>
      </c>
      <c r="G18">
        <f t="shared" si="0"/>
        <v>1</v>
      </c>
      <c r="H18">
        <f t="shared" si="1"/>
        <v>0</v>
      </c>
      <c r="I18">
        <f t="array" ref="I18">MIN(IF(A:A=A18,D:D))</f>
        <v>5</v>
      </c>
    </row>
    <row r="19" spans="1:9" x14ac:dyDescent="0.2">
      <c r="A19" t="s">
        <v>27</v>
      </c>
      <c r="B19" t="s">
        <v>10</v>
      </c>
      <c r="C19">
        <v>0</v>
      </c>
      <c r="D19">
        <v>6</v>
      </c>
      <c r="E19">
        <v>31.819483951999999</v>
      </c>
      <c r="F19">
        <v>3.3544970269999999</v>
      </c>
      <c r="G19">
        <f t="shared" si="0"/>
        <v>1</v>
      </c>
      <c r="H19">
        <f t="shared" si="1"/>
        <v>0</v>
      </c>
      <c r="I19">
        <f t="array" ref="I19">MIN(IF(A:A=A19,D:D))</f>
        <v>6</v>
      </c>
    </row>
    <row r="20" spans="1:9" x14ac:dyDescent="0.2">
      <c r="A20" t="s">
        <v>28</v>
      </c>
      <c r="B20" t="s">
        <v>10</v>
      </c>
      <c r="C20">
        <v>0</v>
      </c>
      <c r="D20">
        <v>7</v>
      </c>
      <c r="E20">
        <v>59.744012298000001</v>
      </c>
      <c r="F20">
        <v>6.2135754680000002</v>
      </c>
      <c r="G20">
        <f t="shared" si="0"/>
        <v>1</v>
      </c>
      <c r="H20">
        <f t="shared" si="1"/>
        <v>0</v>
      </c>
      <c r="I20">
        <f t="array" ref="I20">MIN(IF(A:A=A20,D:D))</f>
        <v>7</v>
      </c>
    </row>
    <row r="21" spans="1:9" x14ac:dyDescent="0.2">
      <c r="A21" t="s">
        <v>29</v>
      </c>
      <c r="B21" t="s">
        <v>10</v>
      </c>
      <c r="C21">
        <v>0</v>
      </c>
      <c r="D21">
        <v>8</v>
      </c>
      <c r="E21">
        <v>698.92833899599998</v>
      </c>
      <c r="F21">
        <v>470.45326810099999</v>
      </c>
      <c r="G21">
        <f t="shared" si="0"/>
        <v>1</v>
      </c>
      <c r="H21">
        <f t="shared" si="1"/>
        <v>0</v>
      </c>
      <c r="I21">
        <f t="array" ref="I21">MIN(IF(A:A=A21,D:D))</f>
        <v>8</v>
      </c>
    </row>
    <row r="22" spans="1:9" x14ac:dyDescent="0.2">
      <c r="A22" t="s">
        <v>30</v>
      </c>
      <c r="B22" t="s">
        <v>10</v>
      </c>
      <c r="C22">
        <v>0</v>
      </c>
      <c r="D22">
        <v>2</v>
      </c>
      <c r="E22">
        <v>0.21867178000000001</v>
      </c>
      <c r="F22">
        <v>0.15984084000000001</v>
      </c>
      <c r="G22">
        <f t="shared" si="0"/>
        <v>1</v>
      </c>
      <c r="H22">
        <f t="shared" si="1"/>
        <v>0</v>
      </c>
      <c r="I22">
        <f t="array" ref="I22">MIN(IF(A:A=A22,D:D))</f>
        <v>2</v>
      </c>
    </row>
    <row r="23" spans="1:9" x14ac:dyDescent="0.2">
      <c r="A23" t="s">
        <v>31</v>
      </c>
      <c r="B23" t="s">
        <v>10</v>
      </c>
      <c r="C23">
        <v>0</v>
      </c>
      <c r="D23">
        <v>4</v>
      </c>
      <c r="E23">
        <v>6.4905888100000002</v>
      </c>
      <c r="F23">
        <v>1.256555265</v>
      </c>
      <c r="G23">
        <f t="shared" si="0"/>
        <v>1</v>
      </c>
      <c r="H23">
        <f t="shared" si="1"/>
        <v>0</v>
      </c>
      <c r="I23">
        <f t="array" ref="I23">MIN(IF(A:A=A23,D:D))</f>
        <v>4</v>
      </c>
    </row>
    <row r="24" spans="1:9" x14ac:dyDescent="0.2">
      <c r="A24" t="s">
        <v>32</v>
      </c>
      <c r="B24" t="s">
        <v>10</v>
      </c>
      <c r="C24">
        <v>0</v>
      </c>
      <c r="D24">
        <v>5</v>
      </c>
      <c r="E24">
        <v>12.954125075</v>
      </c>
      <c r="F24">
        <v>1.8055055289999999</v>
      </c>
      <c r="G24">
        <f t="shared" si="0"/>
        <v>1</v>
      </c>
      <c r="H24">
        <f t="shared" si="1"/>
        <v>0</v>
      </c>
      <c r="I24">
        <f t="array" ref="I24">MIN(IF(A:A=A24,D:D))</f>
        <v>5</v>
      </c>
    </row>
    <row r="25" spans="1:9" x14ac:dyDescent="0.2">
      <c r="A25" t="s">
        <v>33</v>
      </c>
      <c r="B25" t="s">
        <v>10</v>
      </c>
      <c r="C25">
        <v>0</v>
      </c>
      <c r="D25">
        <v>4</v>
      </c>
      <c r="E25">
        <v>7.2557800119999998</v>
      </c>
      <c r="F25">
        <v>1.8897464690000001</v>
      </c>
      <c r="G25">
        <f t="shared" si="0"/>
        <v>1</v>
      </c>
      <c r="H25">
        <f t="shared" si="1"/>
        <v>0</v>
      </c>
      <c r="I25">
        <f t="array" ref="I25">MIN(IF(A:A=A25,D:D))</f>
        <v>4</v>
      </c>
    </row>
    <row r="26" spans="1:9" x14ac:dyDescent="0.2">
      <c r="A26" t="s">
        <v>34</v>
      </c>
      <c r="B26" t="s">
        <v>10</v>
      </c>
      <c r="C26">
        <v>0</v>
      </c>
      <c r="D26">
        <v>4</v>
      </c>
      <c r="E26">
        <v>11.45629941</v>
      </c>
      <c r="F26">
        <v>1.4354804830000001</v>
      </c>
      <c r="G26">
        <f t="shared" si="0"/>
        <v>1</v>
      </c>
      <c r="H26">
        <f t="shared" si="1"/>
        <v>0</v>
      </c>
      <c r="I26">
        <f t="array" ref="I26">MIN(IF(A:A=A26,D:D))</f>
        <v>4</v>
      </c>
    </row>
    <row r="27" spans="1:9" x14ac:dyDescent="0.2">
      <c r="A27" t="s">
        <v>35</v>
      </c>
      <c r="B27" t="s">
        <v>10</v>
      </c>
      <c r="C27">
        <v>0</v>
      </c>
      <c r="D27">
        <v>4</v>
      </c>
      <c r="E27">
        <v>8.6908769909999997</v>
      </c>
      <c r="F27">
        <v>2.5564044739999998</v>
      </c>
      <c r="G27">
        <f t="shared" si="0"/>
        <v>1</v>
      </c>
      <c r="H27">
        <f t="shared" si="1"/>
        <v>0</v>
      </c>
      <c r="I27">
        <f t="array" ref="I27">MIN(IF(A:A=A27,D:D))</f>
        <v>4</v>
      </c>
    </row>
    <row r="28" spans="1:9" x14ac:dyDescent="0.2">
      <c r="A28" t="s">
        <v>36</v>
      </c>
      <c r="B28" t="s">
        <v>10</v>
      </c>
      <c r="C28">
        <v>0</v>
      </c>
      <c r="D28">
        <v>5</v>
      </c>
      <c r="E28">
        <v>25.232789555</v>
      </c>
      <c r="F28">
        <v>2.5019763780000002</v>
      </c>
      <c r="G28">
        <f t="shared" si="0"/>
        <v>1</v>
      </c>
      <c r="H28">
        <f t="shared" si="1"/>
        <v>0</v>
      </c>
      <c r="I28">
        <f t="array" ref="I28">MIN(IF(A:A=A28,D:D))</f>
        <v>5</v>
      </c>
    </row>
    <row r="29" spans="1:9" x14ac:dyDescent="0.2">
      <c r="A29" t="s">
        <v>37</v>
      </c>
      <c r="B29" t="s">
        <v>10</v>
      </c>
      <c r="C29">
        <v>0</v>
      </c>
      <c r="D29">
        <v>4</v>
      </c>
      <c r="E29">
        <v>10.782104653999999</v>
      </c>
      <c r="F29">
        <v>3.4996689289999998</v>
      </c>
      <c r="G29">
        <f t="shared" si="0"/>
        <v>1</v>
      </c>
      <c r="H29">
        <f t="shared" si="1"/>
        <v>0</v>
      </c>
      <c r="I29">
        <f t="array" ref="I29">MIN(IF(A:A=A29,D:D))</f>
        <v>4</v>
      </c>
    </row>
    <row r="30" spans="1:9" x14ac:dyDescent="0.2">
      <c r="A30" t="s">
        <v>38</v>
      </c>
      <c r="B30" t="s">
        <v>10</v>
      </c>
      <c r="C30">
        <v>0</v>
      </c>
      <c r="D30">
        <v>5</v>
      </c>
      <c r="E30">
        <v>25.447069843000001</v>
      </c>
      <c r="F30">
        <v>3.947622762</v>
      </c>
      <c r="G30">
        <f t="shared" si="0"/>
        <v>1</v>
      </c>
      <c r="H30">
        <f t="shared" si="1"/>
        <v>0</v>
      </c>
      <c r="I30">
        <f t="array" ref="I30">MIN(IF(A:A=A30,D:D))</f>
        <v>5</v>
      </c>
    </row>
    <row r="31" spans="1:9" x14ac:dyDescent="0.2">
      <c r="A31" t="s">
        <v>39</v>
      </c>
      <c r="B31" t="s">
        <v>10</v>
      </c>
      <c r="C31">
        <v>0</v>
      </c>
      <c r="D31">
        <v>6</v>
      </c>
      <c r="E31">
        <v>83.158384045999995</v>
      </c>
      <c r="F31">
        <v>25.404934803</v>
      </c>
      <c r="G31">
        <f t="shared" si="0"/>
        <v>1</v>
      </c>
      <c r="H31">
        <f t="shared" si="1"/>
        <v>0</v>
      </c>
      <c r="I31">
        <f t="array" ref="I31">MIN(IF(A:A=A31,D:D))</f>
        <v>6</v>
      </c>
    </row>
    <row r="32" spans="1:9" x14ac:dyDescent="0.2">
      <c r="A32" t="s">
        <v>40</v>
      </c>
      <c r="B32" t="s">
        <v>10</v>
      </c>
      <c r="C32">
        <v>0</v>
      </c>
      <c r="D32">
        <v>5</v>
      </c>
      <c r="E32">
        <v>107.65782275799999</v>
      </c>
      <c r="F32">
        <v>32.777865614</v>
      </c>
      <c r="G32">
        <f t="shared" si="0"/>
        <v>1</v>
      </c>
      <c r="H32">
        <f t="shared" si="1"/>
        <v>0</v>
      </c>
      <c r="I32">
        <f t="array" ref="I32">MIN(IF(A:A=A32,D:D))</f>
        <v>5</v>
      </c>
    </row>
    <row r="33" spans="1:9" x14ac:dyDescent="0.2">
      <c r="A33" t="s">
        <v>41</v>
      </c>
      <c r="B33" t="s">
        <v>10</v>
      </c>
      <c r="C33">
        <v>0</v>
      </c>
      <c r="D33">
        <v>5</v>
      </c>
      <c r="E33">
        <v>127.150741098</v>
      </c>
      <c r="F33">
        <v>17.305269615</v>
      </c>
      <c r="G33">
        <f t="shared" si="0"/>
        <v>1</v>
      </c>
      <c r="H33">
        <f t="shared" si="1"/>
        <v>0</v>
      </c>
      <c r="I33">
        <f t="array" ref="I33">MIN(IF(A:A=A33,D:D))</f>
        <v>5</v>
      </c>
    </row>
    <row r="34" spans="1:9" x14ac:dyDescent="0.2">
      <c r="A34" t="s">
        <v>42</v>
      </c>
      <c r="B34" t="s">
        <v>10</v>
      </c>
      <c r="C34">
        <v>0</v>
      </c>
      <c r="D34">
        <v>5</v>
      </c>
      <c r="E34">
        <v>192.829797805</v>
      </c>
      <c r="F34">
        <v>17.154604923000001</v>
      </c>
      <c r="G34">
        <f t="shared" si="0"/>
        <v>1</v>
      </c>
      <c r="H34">
        <f t="shared" si="1"/>
        <v>0</v>
      </c>
      <c r="I34">
        <f t="array" ref="I34">MIN(IF(A:A=A34,D:D))</f>
        <v>5</v>
      </c>
    </row>
    <row r="35" spans="1:9" x14ac:dyDescent="0.2">
      <c r="A35" t="s">
        <v>43</v>
      </c>
      <c r="B35" t="s">
        <v>10</v>
      </c>
      <c r="C35">
        <v>0</v>
      </c>
      <c r="D35">
        <v>6</v>
      </c>
      <c r="E35">
        <v>431.27755520599999</v>
      </c>
      <c r="F35">
        <v>394.25593071899999</v>
      </c>
      <c r="G35">
        <f t="shared" si="0"/>
        <v>1</v>
      </c>
      <c r="H35">
        <f t="shared" si="1"/>
        <v>0</v>
      </c>
      <c r="I35">
        <f t="array" ref="I35">MIN(IF(A:A=A35,D:D))</f>
        <v>6</v>
      </c>
    </row>
    <row r="36" spans="1:9" x14ac:dyDescent="0.2">
      <c r="A36" t="s">
        <v>44</v>
      </c>
      <c r="B36" t="s">
        <v>10</v>
      </c>
      <c r="C36">
        <v>0</v>
      </c>
      <c r="D36">
        <v>2</v>
      </c>
      <c r="E36">
        <v>45.412847651</v>
      </c>
      <c r="F36">
        <v>9.8294543819999998</v>
      </c>
      <c r="G36">
        <f t="shared" si="0"/>
        <v>1</v>
      </c>
      <c r="H36">
        <f t="shared" si="1"/>
        <v>0</v>
      </c>
      <c r="I36">
        <f t="array" ref="I36">MIN(IF(A:A=A36,D:D))</f>
        <v>2</v>
      </c>
    </row>
    <row r="37" spans="1:9" x14ac:dyDescent="0.2">
      <c r="A37" t="s">
        <v>45</v>
      </c>
      <c r="B37" t="s">
        <v>10</v>
      </c>
      <c r="C37">
        <v>0</v>
      </c>
      <c r="D37">
        <v>3</v>
      </c>
      <c r="E37">
        <v>9.3116127389999992</v>
      </c>
      <c r="F37">
        <v>2.9883682309999999</v>
      </c>
      <c r="G37">
        <f t="shared" si="0"/>
        <v>1</v>
      </c>
      <c r="H37">
        <f t="shared" si="1"/>
        <v>0</v>
      </c>
      <c r="I37">
        <f t="array" ref="I37">MIN(IF(A:A=A37,D:D))</f>
        <v>3</v>
      </c>
    </row>
    <row r="38" spans="1:9" x14ac:dyDescent="0.2">
      <c r="A38" t="s">
        <v>46</v>
      </c>
      <c r="B38" t="s">
        <v>10</v>
      </c>
      <c r="C38">
        <v>0</v>
      </c>
      <c r="D38">
        <v>5</v>
      </c>
      <c r="E38">
        <v>63.923080826000003</v>
      </c>
      <c r="F38">
        <v>7.5171453799999997</v>
      </c>
      <c r="G38">
        <f t="shared" si="0"/>
        <v>1</v>
      </c>
      <c r="H38">
        <f t="shared" si="1"/>
        <v>0</v>
      </c>
      <c r="I38">
        <f t="array" ref="I38">MIN(IF(A:A=A38,D:D))</f>
        <v>5</v>
      </c>
    </row>
    <row r="39" spans="1:9" x14ac:dyDescent="0.2">
      <c r="A39" t="s">
        <v>47</v>
      </c>
      <c r="B39" t="s">
        <v>10</v>
      </c>
      <c r="C39">
        <v>0</v>
      </c>
      <c r="D39">
        <v>4</v>
      </c>
      <c r="E39">
        <v>142.284091722</v>
      </c>
      <c r="F39">
        <v>18.494006807000002</v>
      </c>
      <c r="G39">
        <f t="shared" si="0"/>
        <v>1</v>
      </c>
      <c r="H39">
        <f t="shared" si="1"/>
        <v>0</v>
      </c>
      <c r="I39">
        <f t="array" ref="I39">MIN(IF(A:A=A39,D:D))</f>
        <v>4</v>
      </c>
    </row>
    <row r="40" spans="1:9" x14ac:dyDescent="0.2">
      <c r="A40" t="s">
        <v>48</v>
      </c>
      <c r="B40" t="s">
        <v>10</v>
      </c>
      <c r="C40">
        <v>0</v>
      </c>
      <c r="D40">
        <v>3</v>
      </c>
      <c r="E40">
        <v>4.6844494860000001</v>
      </c>
      <c r="F40">
        <v>1.5523026230000001</v>
      </c>
      <c r="G40">
        <f t="shared" si="0"/>
        <v>1</v>
      </c>
      <c r="H40">
        <f t="shared" si="1"/>
        <v>0</v>
      </c>
      <c r="I40">
        <f t="array" ref="I40">MIN(IF(A:A=A40,D:D))</f>
        <v>3</v>
      </c>
    </row>
    <row r="41" spans="1:9" x14ac:dyDescent="0.2">
      <c r="A41" t="s">
        <v>49</v>
      </c>
      <c r="B41" t="s">
        <v>10</v>
      </c>
      <c r="C41">
        <v>0</v>
      </c>
      <c r="D41">
        <v>4</v>
      </c>
      <c r="E41">
        <v>106.141455291</v>
      </c>
      <c r="F41">
        <v>20.642712203999999</v>
      </c>
      <c r="G41">
        <f t="shared" si="0"/>
        <v>1</v>
      </c>
      <c r="H41">
        <f t="shared" si="1"/>
        <v>0</v>
      </c>
      <c r="I41">
        <f t="array" ref="I41">MIN(IF(A:A=A41,D:D))</f>
        <v>4</v>
      </c>
    </row>
    <row r="42" spans="1:9" x14ac:dyDescent="0.2">
      <c r="A42" t="s">
        <v>50</v>
      </c>
      <c r="B42" t="s">
        <v>10</v>
      </c>
      <c r="C42">
        <v>0</v>
      </c>
      <c r="D42">
        <v>7</v>
      </c>
      <c r="E42">
        <v>1032.947226561</v>
      </c>
      <c r="F42">
        <v>80.378958476999998</v>
      </c>
      <c r="G42">
        <f t="shared" si="0"/>
        <v>1</v>
      </c>
      <c r="H42">
        <f t="shared" si="1"/>
        <v>0</v>
      </c>
      <c r="I42">
        <f t="array" ref="I42">MIN(IF(A:A=A42,D:D))</f>
        <v>7</v>
      </c>
    </row>
    <row r="43" spans="1:9" x14ac:dyDescent="0.2">
      <c r="A43" t="s">
        <v>51</v>
      </c>
      <c r="B43" t="s">
        <v>10</v>
      </c>
      <c r="C43">
        <v>0</v>
      </c>
      <c r="D43">
        <v>4</v>
      </c>
      <c r="E43">
        <v>1.126949757</v>
      </c>
      <c r="F43">
        <v>0.37272702099999999</v>
      </c>
      <c r="G43">
        <f t="shared" si="0"/>
        <v>1</v>
      </c>
      <c r="H43">
        <f t="shared" si="1"/>
        <v>0</v>
      </c>
      <c r="I43">
        <f t="array" ref="I43">MIN(IF(A:A=A43,D:D))</f>
        <v>4</v>
      </c>
    </row>
    <row r="44" spans="1:9" x14ac:dyDescent="0.2">
      <c r="A44" t="s">
        <v>52</v>
      </c>
      <c r="B44" t="s">
        <v>10</v>
      </c>
      <c r="C44">
        <v>0</v>
      </c>
      <c r="D44">
        <v>5</v>
      </c>
      <c r="E44">
        <v>49.941519759999998</v>
      </c>
      <c r="F44">
        <v>12.419156064999999</v>
      </c>
      <c r="G44">
        <f t="shared" si="0"/>
        <v>1</v>
      </c>
      <c r="H44">
        <f t="shared" si="1"/>
        <v>0</v>
      </c>
      <c r="I44">
        <f t="array" ref="I44">MIN(IF(A:A=A44,D:D))</f>
        <v>5</v>
      </c>
    </row>
    <row r="45" spans="1:9" x14ac:dyDescent="0.2">
      <c r="A45" t="s">
        <v>53</v>
      </c>
      <c r="B45" t="s">
        <v>10</v>
      </c>
      <c r="C45">
        <v>0</v>
      </c>
      <c r="D45">
        <v>6</v>
      </c>
      <c r="E45">
        <v>174.52043679799999</v>
      </c>
      <c r="F45">
        <v>16.512852110000001</v>
      </c>
      <c r="G45">
        <f t="shared" si="0"/>
        <v>1</v>
      </c>
      <c r="H45">
        <f t="shared" si="1"/>
        <v>0</v>
      </c>
      <c r="I45">
        <f t="array" ref="I45">MIN(IF(A:A=A45,D:D))</f>
        <v>6</v>
      </c>
    </row>
    <row r="46" spans="1:9" x14ac:dyDescent="0.2">
      <c r="A46" t="s">
        <v>54</v>
      </c>
      <c r="B46" t="s">
        <v>10</v>
      </c>
      <c r="C46">
        <v>0</v>
      </c>
      <c r="D46">
        <v>7</v>
      </c>
      <c r="E46">
        <v>110.02614367</v>
      </c>
      <c r="F46">
        <v>4.3769882009999996</v>
      </c>
      <c r="G46">
        <f t="shared" si="0"/>
        <v>1</v>
      </c>
      <c r="H46">
        <f t="shared" si="1"/>
        <v>0</v>
      </c>
      <c r="I46">
        <f t="array" ref="I46">MIN(IF(A:A=A46,D:D))</f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84DF-B0D5-4361-BE20-6599EA62DA83}">
  <dimension ref="A1:N49"/>
  <sheetViews>
    <sheetView zoomScale="85" zoomScaleNormal="85" workbookViewId="0">
      <selection activeCell="K35" sqref="K35"/>
    </sheetView>
  </sheetViews>
  <sheetFormatPr baseColWidth="10" defaultRowHeight="15" x14ac:dyDescent="0.2"/>
  <cols>
    <col min="8" max="8" width="15.33203125" bestFit="1" customWidth="1"/>
  </cols>
  <sheetData>
    <row r="1" spans="1:12" ht="16" thickBot="1" x14ac:dyDescent="0.25">
      <c r="A1" t="s">
        <v>59</v>
      </c>
      <c r="C1" s="26" t="s">
        <v>60</v>
      </c>
      <c r="D1" s="26"/>
      <c r="E1" s="26"/>
      <c r="F1" s="27" t="s">
        <v>68</v>
      </c>
      <c r="G1" s="28"/>
      <c r="H1" s="28"/>
    </row>
    <row r="2" spans="1:12" ht="16" thickBot="1" x14ac:dyDescent="0.25">
      <c r="B2" t="s">
        <v>61</v>
      </c>
      <c r="C2" s="3" t="s">
        <v>62</v>
      </c>
      <c r="D2" s="4" t="s">
        <v>63</v>
      </c>
      <c r="E2" s="4" t="s">
        <v>64</v>
      </c>
      <c r="F2" s="3" t="s">
        <v>62</v>
      </c>
      <c r="G2" s="4" t="s">
        <v>63</v>
      </c>
      <c r="H2" s="4" t="s">
        <v>64</v>
      </c>
    </row>
    <row r="3" spans="1:12" x14ac:dyDescent="0.2">
      <c r="A3" s="5" t="s">
        <v>17</v>
      </c>
      <c r="B3" s="6">
        <f t="shared" ref="B3:B47" si="0">MIN(C3,F3)</f>
        <v>5</v>
      </c>
      <c r="C3" s="7">
        <v>5</v>
      </c>
      <c r="D3" s="8">
        <f t="shared" ref="D3:D47" si="1">(C3-$B3)/$B3</f>
        <v>0</v>
      </c>
      <c r="E3" s="9">
        <v>48</v>
      </c>
      <c r="F3" s="20">
        <v>5</v>
      </c>
      <c r="G3" s="10">
        <f t="shared" ref="G3:G47" si="2">(F3-$B3)/$B3</f>
        <v>0</v>
      </c>
      <c r="H3" s="23">
        <v>0.34554927800000002</v>
      </c>
      <c r="L3" s="2"/>
    </row>
    <row r="4" spans="1:12" x14ac:dyDescent="0.2">
      <c r="A4" s="5" t="s">
        <v>30</v>
      </c>
      <c r="B4" s="11">
        <f t="shared" si="0"/>
        <v>2</v>
      </c>
      <c r="C4" s="5">
        <v>3</v>
      </c>
      <c r="D4" s="12">
        <f t="shared" si="1"/>
        <v>0.5</v>
      </c>
      <c r="E4" s="13">
        <v>62</v>
      </c>
      <c r="F4" s="21">
        <v>2</v>
      </c>
      <c r="G4" s="12">
        <f t="shared" si="2"/>
        <v>0</v>
      </c>
      <c r="H4" s="24">
        <v>0.21867178000000001</v>
      </c>
      <c r="L4" s="2"/>
    </row>
    <row r="5" spans="1:12" x14ac:dyDescent="0.2">
      <c r="A5" s="5" t="s">
        <v>51</v>
      </c>
      <c r="B5" s="11">
        <f t="shared" si="0"/>
        <v>4</v>
      </c>
      <c r="C5" s="5">
        <v>4</v>
      </c>
      <c r="D5" s="12">
        <f t="shared" si="1"/>
        <v>0</v>
      </c>
      <c r="E5" s="13">
        <v>100.01</v>
      </c>
      <c r="F5" s="21">
        <v>4</v>
      </c>
      <c r="G5" s="12">
        <f t="shared" si="2"/>
        <v>0</v>
      </c>
      <c r="H5" s="24">
        <v>1.126949757</v>
      </c>
      <c r="L5" s="2"/>
    </row>
    <row r="6" spans="1:12" x14ac:dyDescent="0.2">
      <c r="A6" s="5" t="s">
        <v>14</v>
      </c>
      <c r="B6" s="11">
        <f t="shared" si="0"/>
        <v>3</v>
      </c>
      <c r="C6" s="5">
        <v>4</v>
      </c>
      <c r="D6" s="12">
        <f t="shared" si="1"/>
        <v>0.33333333333333331</v>
      </c>
      <c r="E6" s="13">
        <v>118.01</v>
      </c>
      <c r="F6" s="21">
        <v>3</v>
      </c>
      <c r="G6" s="12">
        <f t="shared" si="2"/>
        <v>0</v>
      </c>
      <c r="H6" s="24">
        <v>0.97196936099999998</v>
      </c>
      <c r="L6" s="2"/>
    </row>
    <row r="7" spans="1:12" x14ac:dyDescent="0.2">
      <c r="A7" s="5" t="s">
        <v>18</v>
      </c>
      <c r="B7" s="11">
        <f t="shared" si="0"/>
        <v>8</v>
      </c>
      <c r="C7" s="5">
        <v>9</v>
      </c>
      <c r="D7" s="12">
        <f t="shared" si="1"/>
        <v>0.125</v>
      </c>
      <c r="E7" s="13">
        <v>132.01</v>
      </c>
      <c r="F7" s="21">
        <v>8</v>
      </c>
      <c r="G7" s="12">
        <f t="shared" si="2"/>
        <v>0</v>
      </c>
      <c r="H7" s="24">
        <v>33.244644043000001</v>
      </c>
      <c r="L7" s="2"/>
    </row>
    <row r="8" spans="1:12" x14ac:dyDescent="0.2">
      <c r="A8" s="5" t="s">
        <v>23</v>
      </c>
      <c r="B8" s="11">
        <f t="shared" si="0"/>
        <v>3</v>
      </c>
      <c r="C8" s="5">
        <v>4</v>
      </c>
      <c r="D8" s="12">
        <f t="shared" si="1"/>
        <v>0.33333333333333331</v>
      </c>
      <c r="E8" s="13">
        <v>138.01</v>
      </c>
      <c r="F8" s="21">
        <v>3</v>
      </c>
      <c r="G8" s="12">
        <f t="shared" si="2"/>
        <v>0</v>
      </c>
      <c r="H8" s="24">
        <v>1.761163043</v>
      </c>
      <c r="L8" s="2"/>
    </row>
    <row r="9" spans="1:12" x14ac:dyDescent="0.2">
      <c r="A9" s="5" t="s">
        <v>24</v>
      </c>
      <c r="B9" s="11">
        <f t="shared" si="0"/>
        <v>4</v>
      </c>
      <c r="C9" s="5">
        <v>5</v>
      </c>
      <c r="D9" s="12">
        <f t="shared" si="1"/>
        <v>0.25</v>
      </c>
      <c r="E9" s="13">
        <v>144.01</v>
      </c>
      <c r="F9" s="21">
        <v>4</v>
      </c>
      <c r="G9" s="12">
        <f t="shared" si="2"/>
        <v>0</v>
      </c>
      <c r="H9" s="24">
        <v>2.8400645959999999</v>
      </c>
      <c r="L9" s="2"/>
    </row>
    <row r="10" spans="1:12" x14ac:dyDescent="0.2">
      <c r="A10" s="5" t="s">
        <v>19</v>
      </c>
      <c r="B10" s="11">
        <f t="shared" si="0"/>
        <v>7</v>
      </c>
      <c r="C10" s="5">
        <v>7</v>
      </c>
      <c r="D10" s="12">
        <f t="shared" si="1"/>
        <v>0</v>
      </c>
      <c r="E10" s="13">
        <v>153.01</v>
      </c>
      <c r="F10" s="21">
        <v>7</v>
      </c>
      <c r="G10" s="12">
        <f t="shared" si="2"/>
        <v>0</v>
      </c>
      <c r="H10" s="24">
        <v>13.822295048000001</v>
      </c>
      <c r="L10" s="2"/>
    </row>
    <row r="11" spans="1:12" x14ac:dyDescent="0.2">
      <c r="A11" s="5" t="s">
        <v>25</v>
      </c>
      <c r="B11" s="11">
        <f t="shared" si="0"/>
        <v>4</v>
      </c>
      <c r="C11" s="5">
        <v>6</v>
      </c>
      <c r="D11" s="12">
        <f t="shared" si="1"/>
        <v>0.5</v>
      </c>
      <c r="E11" s="13">
        <v>161.01</v>
      </c>
      <c r="F11" s="21">
        <v>4</v>
      </c>
      <c r="G11" s="12">
        <f t="shared" si="2"/>
        <v>0</v>
      </c>
      <c r="H11" s="24">
        <v>4.3096071570000003</v>
      </c>
      <c r="L11" s="2"/>
    </row>
    <row r="12" spans="1:12" x14ac:dyDescent="0.2">
      <c r="A12" s="5" t="s">
        <v>31</v>
      </c>
      <c r="B12" s="11">
        <f t="shared" si="0"/>
        <v>4</v>
      </c>
      <c r="C12" s="5">
        <v>5</v>
      </c>
      <c r="D12" s="12">
        <f t="shared" si="1"/>
        <v>0.25</v>
      </c>
      <c r="E12" s="13">
        <v>198.01</v>
      </c>
      <c r="F12" s="21">
        <v>4</v>
      </c>
      <c r="G12" s="12">
        <f t="shared" si="2"/>
        <v>0</v>
      </c>
      <c r="H12" s="24">
        <v>6.4905888100000002</v>
      </c>
      <c r="L12" s="2"/>
    </row>
    <row r="13" spans="1:12" x14ac:dyDescent="0.2">
      <c r="A13" s="5" t="s">
        <v>32</v>
      </c>
      <c r="B13" s="11">
        <f t="shared" si="0"/>
        <v>5</v>
      </c>
      <c r="C13" s="5">
        <v>6</v>
      </c>
      <c r="D13" s="12">
        <f t="shared" si="1"/>
        <v>0.2</v>
      </c>
      <c r="E13" s="13">
        <v>209.01</v>
      </c>
      <c r="F13" s="21">
        <v>5</v>
      </c>
      <c r="G13" s="12">
        <f t="shared" si="2"/>
        <v>0</v>
      </c>
      <c r="H13" s="24">
        <v>12.954125075</v>
      </c>
      <c r="L13" s="2"/>
    </row>
    <row r="14" spans="1:12" x14ac:dyDescent="0.2">
      <c r="A14" s="5" t="s">
        <v>33</v>
      </c>
      <c r="B14" s="11">
        <f t="shared" si="0"/>
        <v>4</v>
      </c>
      <c r="C14" s="5">
        <v>5</v>
      </c>
      <c r="D14" s="12">
        <f t="shared" si="1"/>
        <v>0.25</v>
      </c>
      <c r="E14" s="13">
        <v>221.01</v>
      </c>
      <c r="F14" s="21">
        <v>4</v>
      </c>
      <c r="G14" s="12">
        <f t="shared" si="2"/>
        <v>0</v>
      </c>
      <c r="H14" s="24">
        <v>7.2557800119999998</v>
      </c>
      <c r="L14" s="2"/>
    </row>
    <row r="15" spans="1:12" x14ac:dyDescent="0.2">
      <c r="A15" s="5" t="s">
        <v>26</v>
      </c>
      <c r="B15" s="11">
        <f t="shared" si="0"/>
        <v>5</v>
      </c>
      <c r="C15" s="5">
        <v>7</v>
      </c>
      <c r="D15" s="12">
        <f t="shared" si="1"/>
        <v>0.4</v>
      </c>
      <c r="E15" s="13">
        <v>229.01</v>
      </c>
      <c r="F15" s="21">
        <v>5</v>
      </c>
      <c r="G15" s="12">
        <f t="shared" si="2"/>
        <v>0</v>
      </c>
      <c r="H15" s="24">
        <v>11.653323574</v>
      </c>
      <c r="L15" s="2"/>
    </row>
    <row r="16" spans="1:12" x14ac:dyDescent="0.2">
      <c r="A16" s="5" t="s">
        <v>34</v>
      </c>
      <c r="B16" s="11">
        <f t="shared" si="0"/>
        <v>4</v>
      </c>
      <c r="C16" s="5">
        <v>4</v>
      </c>
      <c r="D16" s="12">
        <f t="shared" si="1"/>
        <v>0</v>
      </c>
      <c r="E16" s="13">
        <v>234.01</v>
      </c>
      <c r="F16" s="21">
        <v>4</v>
      </c>
      <c r="G16" s="12">
        <f t="shared" si="2"/>
        <v>0</v>
      </c>
      <c r="H16" s="24">
        <v>11.45629941</v>
      </c>
      <c r="L16" s="2"/>
    </row>
    <row r="17" spans="1:12" x14ac:dyDescent="0.2">
      <c r="A17" s="5" t="s">
        <v>48</v>
      </c>
      <c r="B17" s="11">
        <f t="shared" si="0"/>
        <v>3</v>
      </c>
      <c r="C17" s="5">
        <v>4</v>
      </c>
      <c r="D17" s="12">
        <f t="shared" si="1"/>
        <v>0.33333333333333331</v>
      </c>
      <c r="E17" s="13">
        <v>237.01</v>
      </c>
      <c r="F17" s="21">
        <v>3</v>
      </c>
      <c r="G17" s="12">
        <f t="shared" si="2"/>
        <v>0</v>
      </c>
      <c r="H17" s="24">
        <v>4.6844494860000001</v>
      </c>
      <c r="L17" s="2"/>
    </row>
    <row r="18" spans="1:12" x14ac:dyDescent="0.2">
      <c r="A18" s="5" t="s">
        <v>35</v>
      </c>
      <c r="B18" s="11">
        <f t="shared" si="0"/>
        <v>4</v>
      </c>
      <c r="C18" s="5">
        <v>6</v>
      </c>
      <c r="D18" s="12">
        <f t="shared" si="1"/>
        <v>0.5</v>
      </c>
      <c r="E18" s="13">
        <v>245.02</v>
      </c>
      <c r="F18" s="21">
        <v>4</v>
      </c>
      <c r="G18" s="12">
        <f t="shared" si="2"/>
        <v>0</v>
      </c>
      <c r="H18" s="24">
        <v>8.6908769909999997</v>
      </c>
      <c r="L18" s="2"/>
    </row>
    <row r="19" spans="1:12" x14ac:dyDescent="0.2">
      <c r="A19" s="5" t="s">
        <v>45</v>
      </c>
      <c r="B19" s="11">
        <f t="shared" si="0"/>
        <v>3</v>
      </c>
      <c r="C19" s="5">
        <v>6</v>
      </c>
      <c r="D19" s="12">
        <f t="shared" si="1"/>
        <v>1</v>
      </c>
      <c r="E19" s="13">
        <v>265</v>
      </c>
      <c r="F19" s="21">
        <v>3</v>
      </c>
      <c r="G19" s="12">
        <f t="shared" si="2"/>
        <v>0</v>
      </c>
      <c r="H19" s="24">
        <v>9.3116127389999992</v>
      </c>
      <c r="L19" s="2"/>
    </row>
    <row r="20" spans="1:12" x14ac:dyDescent="0.2">
      <c r="A20" s="5" t="s">
        <v>15</v>
      </c>
      <c r="B20" s="11">
        <f t="shared" si="0"/>
        <v>4</v>
      </c>
      <c r="C20" s="5">
        <v>7</v>
      </c>
      <c r="D20" s="12">
        <f t="shared" si="1"/>
        <v>0.75</v>
      </c>
      <c r="E20" s="13">
        <v>274.02</v>
      </c>
      <c r="F20" s="21">
        <v>4</v>
      </c>
      <c r="G20" s="12">
        <f t="shared" si="2"/>
        <v>0</v>
      </c>
      <c r="H20" s="24">
        <v>13.051265654</v>
      </c>
      <c r="L20" s="2"/>
    </row>
    <row r="21" spans="1:12" x14ac:dyDescent="0.2">
      <c r="A21" s="5" t="s">
        <v>13</v>
      </c>
      <c r="B21" s="11">
        <f t="shared" si="0"/>
        <v>4</v>
      </c>
      <c r="C21" s="5">
        <v>6</v>
      </c>
      <c r="D21" s="12">
        <f t="shared" si="1"/>
        <v>0.5</v>
      </c>
      <c r="E21" s="13">
        <v>292</v>
      </c>
      <c r="F21" s="21">
        <v>4</v>
      </c>
      <c r="G21" s="12">
        <f t="shared" si="2"/>
        <v>0</v>
      </c>
      <c r="H21" s="24">
        <v>9.8368276730000002</v>
      </c>
      <c r="L21" s="2"/>
    </row>
    <row r="22" spans="1:12" x14ac:dyDescent="0.2">
      <c r="A22" s="5" t="s">
        <v>27</v>
      </c>
      <c r="B22" s="11">
        <f t="shared" si="0"/>
        <v>6</v>
      </c>
      <c r="C22" s="5">
        <v>7</v>
      </c>
      <c r="D22" s="12">
        <f t="shared" si="1"/>
        <v>0.16666666666666666</v>
      </c>
      <c r="E22" s="13">
        <v>292</v>
      </c>
      <c r="F22" s="21">
        <v>6</v>
      </c>
      <c r="G22" s="12">
        <f t="shared" si="2"/>
        <v>0</v>
      </c>
      <c r="H22" s="24">
        <v>31.819483951999999</v>
      </c>
      <c r="L22" s="2"/>
    </row>
    <row r="23" spans="1:12" x14ac:dyDescent="0.2">
      <c r="A23" s="5" t="s">
        <v>36</v>
      </c>
      <c r="B23" s="11">
        <f t="shared" si="0"/>
        <v>5</v>
      </c>
      <c r="C23" s="5">
        <v>7</v>
      </c>
      <c r="D23" s="12">
        <f t="shared" si="1"/>
        <v>0.4</v>
      </c>
      <c r="E23" s="13">
        <v>307</v>
      </c>
      <c r="F23" s="21">
        <v>5</v>
      </c>
      <c r="G23" s="12">
        <f t="shared" si="2"/>
        <v>0</v>
      </c>
      <c r="H23" s="24">
        <v>25.232789555</v>
      </c>
      <c r="L23" s="2"/>
    </row>
    <row r="24" spans="1:12" x14ac:dyDescent="0.2">
      <c r="A24" s="5" t="s">
        <v>37</v>
      </c>
      <c r="B24" s="11">
        <f t="shared" si="0"/>
        <v>4</v>
      </c>
      <c r="C24" s="5">
        <v>5</v>
      </c>
      <c r="D24" s="12">
        <f t="shared" si="1"/>
        <v>0.25</v>
      </c>
      <c r="E24" s="13">
        <v>310</v>
      </c>
      <c r="F24" s="21">
        <v>4</v>
      </c>
      <c r="G24" s="12">
        <f t="shared" si="2"/>
        <v>0</v>
      </c>
      <c r="H24" s="24">
        <v>10.782104653999999</v>
      </c>
      <c r="L24" s="2"/>
    </row>
    <row r="25" spans="1:12" x14ac:dyDescent="0.2">
      <c r="A25" s="5" t="s">
        <v>38</v>
      </c>
      <c r="B25" s="11">
        <f t="shared" si="0"/>
        <v>5</v>
      </c>
      <c r="C25" s="5">
        <v>8</v>
      </c>
      <c r="D25" s="12">
        <f t="shared" si="1"/>
        <v>0.6</v>
      </c>
      <c r="E25" s="13">
        <v>361.01</v>
      </c>
      <c r="F25" s="21">
        <v>5</v>
      </c>
      <c r="G25" s="12">
        <f t="shared" si="2"/>
        <v>0</v>
      </c>
      <c r="H25" s="24">
        <v>25.447069843000001</v>
      </c>
      <c r="L25" s="2"/>
    </row>
    <row r="26" spans="1:12" x14ac:dyDescent="0.2">
      <c r="A26" s="5" t="s">
        <v>54</v>
      </c>
      <c r="B26" s="11">
        <f t="shared" si="0"/>
        <v>7</v>
      </c>
      <c r="C26" s="5">
        <v>8</v>
      </c>
      <c r="D26" s="12">
        <f t="shared" si="1"/>
        <v>0.14285714285714285</v>
      </c>
      <c r="E26" s="13">
        <v>362.01</v>
      </c>
      <c r="F26" s="21">
        <v>7</v>
      </c>
      <c r="G26" s="12">
        <f t="shared" si="2"/>
        <v>0</v>
      </c>
      <c r="H26" s="24">
        <v>110.02614367</v>
      </c>
      <c r="L26" s="2"/>
    </row>
    <row r="27" spans="1:12" x14ac:dyDescent="0.2">
      <c r="A27" s="5" t="s">
        <v>20</v>
      </c>
      <c r="B27" s="11">
        <f t="shared" si="0"/>
        <v>6</v>
      </c>
      <c r="C27" s="5">
        <v>9</v>
      </c>
      <c r="D27" s="12">
        <f t="shared" si="1"/>
        <v>0.5</v>
      </c>
      <c r="E27" s="13">
        <v>420.01</v>
      </c>
      <c r="F27" s="21">
        <v>6</v>
      </c>
      <c r="G27" s="12">
        <f t="shared" si="2"/>
        <v>0</v>
      </c>
      <c r="H27" s="24">
        <v>298.41781679100001</v>
      </c>
      <c r="L27" s="2"/>
    </row>
    <row r="28" spans="1:12" x14ac:dyDescent="0.2">
      <c r="A28" s="5" t="s">
        <v>16</v>
      </c>
      <c r="B28" s="11">
        <f t="shared" si="0"/>
        <v>5</v>
      </c>
      <c r="C28" s="5">
        <v>5</v>
      </c>
      <c r="D28" s="12">
        <f t="shared" si="1"/>
        <v>0</v>
      </c>
      <c r="E28" s="13">
        <v>443.01</v>
      </c>
      <c r="F28" s="21">
        <v>5</v>
      </c>
      <c r="G28" s="12">
        <f t="shared" si="2"/>
        <v>0</v>
      </c>
      <c r="H28" s="24">
        <v>29.516721920999998</v>
      </c>
      <c r="L28" s="2"/>
    </row>
    <row r="29" spans="1:12" x14ac:dyDescent="0.2">
      <c r="A29" s="5" t="s">
        <v>28</v>
      </c>
      <c r="B29" s="11">
        <f t="shared" si="0"/>
        <v>7</v>
      </c>
      <c r="C29" s="5">
        <v>9</v>
      </c>
      <c r="D29" s="12">
        <f t="shared" si="1"/>
        <v>0.2857142857142857</v>
      </c>
      <c r="E29" s="13">
        <v>445.01</v>
      </c>
      <c r="F29" s="21">
        <v>7</v>
      </c>
      <c r="G29" s="12">
        <f t="shared" si="2"/>
        <v>0</v>
      </c>
      <c r="H29" s="24">
        <v>59.744012298000001</v>
      </c>
      <c r="L29" s="2"/>
    </row>
    <row r="30" spans="1:12" x14ac:dyDescent="0.2">
      <c r="A30" s="5" t="s">
        <v>22</v>
      </c>
      <c r="B30" s="11">
        <f t="shared" si="0"/>
        <v>4</v>
      </c>
      <c r="C30" s="5">
        <v>6</v>
      </c>
      <c r="D30" s="12">
        <f t="shared" si="1"/>
        <v>0.5</v>
      </c>
      <c r="E30" s="13">
        <v>485.01</v>
      </c>
      <c r="F30" s="21">
        <v>4</v>
      </c>
      <c r="G30" s="12">
        <f t="shared" si="2"/>
        <v>0</v>
      </c>
      <c r="H30" s="24">
        <v>39.747468265999998</v>
      </c>
      <c r="L30" s="2"/>
    </row>
    <row r="31" spans="1:12" x14ac:dyDescent="0.2">
      <c r="A31" s="5" t="s">
        <v>9</v>
      </c>
      <c r="B31" s="11">
        <f t="shared" si="0"/>
        <v>5</v>
      </c>
      <c r="C31" s="5">
        <v>6</v>
      </c>
      <c r="D31" s="12">
        <f t="shared" si="1"/>
        <v>0.2</v>
      </c>
      <c r="E31" s="13">
        <v>494.01</v>
      </c>
      <c r="F31" s="21">
        <v>5</v>
      </c>
      <c r="G31" s="12">
        <f t="shared" si="2"/>
        <v>0</v>
      </c>
      <c r="H31" s="24">
        <v>41.647164455000002</v>
      </c>
      <c r="L31" s="2"/>
    </row>
    <row r="32" spans="1:12" x14ac:dyDescent="0.2">
      <c r="A32" s="5" t="s">
        <v>39</v>
      </c>
      <c r="B32" s="11">
        <f t="shared" si="0"/>
        <v>6</v>
      </c>
      <c r="C32" s="5">
        <v>8</v>
      </c>
      <c r="D32" s="12">
        <f t="shared" si="1"/>
        <v>0.33333333333333331</v>
      </c>
      <c r="E32" s="13">
        <v>503.01</v>
      </c>
      <c r="F32" s="21">
        <v>6</v>
      </c>
      <c r="G32" s="12">
        <f t="shared" si="2"/>
        <v>0</v>
      </c>
      <c r="H32" s="24">
        <v>83.158384045999995</v>
      </c>
      <c r="L32" s="2"/>
    </row>
    <row r="33" spans="1:14" x14ac:dyDescent="0.2">
      <c r="A33" s="5" t="s">
        <v>46</v>
      </c>
      <c r="B33" s="11">
        <f t="shared" si="0"/>
        <v>5</v>
      </c>
      <c r="C33" s="5">
        <v>8</v>
      </c>
      <c r="D33" s="12">
        <f t="shared" si="1"/>
        <v>0.6</v>
      </c>
      <c r="E33" s="13">
        <v>577</v>
      </c>
      <c r="F33" s="21">
        <v>5</v>
      </c>
      <c r="G33" s="12">
        <f t="shared" si="2"/>
        <v>0</v>
      </c>
      <c r="H33" s="24">
        <v>63.923080826000003</v>
      </c>
      <c r="L33" s="2"/>
    </row>
    <row r="34" spans="1:14" x14ac:dyDescent="0.2">
      <c r="A34" s="5" t="s">
        <v>40</v>
      </c>
      <c r="B34" s="11">
        <f t="shared" si="0"/>
        <v>5</v>
      </c>
      <c r="C34" s="5">
        <v>9</v>
      </c>
      <c r="D34" s="12">
        <f t="shared" si="1"/>
        <v>0.8</v>
      </c>
      <c r="E34" s="13">
        <v>607</v>
      </c>
      <c r="F34" s="21">
        <v>5</v>
      </c>
      <c r="G34" s="12">
        <f t="shared" si="2"/>
        <v>0</v>
      </c>
      <c r="H34" s="24">
        <v>107.65782275799999</v>
      </c>
      <c r="L34" s="2"/>
    </row>
    <row r="35" spans="1:14" x14ac:dyDescent="0.2">
      <c r="A35" s="5" t="s">
        <v>11</v>
      </c>
      <c r="B35" s="11">
        <f t="shared" si="0"/>
        <v>5</v>
      </c>
      <c r="C35" s="5">
        <v>7</v>
      </c>
      <c r="D35" s="12">
        <f t="shared" si="1"/>
        <v>0.4</v>
      </c>
      <c r="E35" s="13">
        <v>662.01</v>
      </c>
      <c r="F35" s="21">
        <v>5</v>
      </c>
      <c r="G35" s="12">
        <f t="shared" si="2"/>
        <v>0</v>
      </c>
      <c r="H35" s="24">
        <v>56.826384459000003</v>
      </c>
      <c r="L35" s="2"/>
    </row>
    <row r="36" spans="1:14" x14ac:dyDescent="0.2">
      <c r="A36" s="5" t="s">
        <v>52</v>
      </c>
      <c r="B36" s="11">
        <f t="shared" si="0"/>
        <v>5</v>
      </c>
      <c r="C36" s="5">
        <v>14</v>
      </c>
      <c r="D36" s="12">
        <f t="shared" si="1"/>
        <v>1.8</v>
      </c>
      <c r="E36" s="13">
        <v>960.01</v>
      </c>
      <c r="F36" s="21">
        <v>5</v>
      </c>
      <c r="G36" s="12">
        <f t="shared" si="2"/>
        <v>0</v>
      </c>
      <c r="H36" s="24">
        <v>49.941519759999998</v>
      </c>
      <c r="L36" s="2"/>
    </row>
    <row r="37" spans="1:14" x14ac:dyDescent="0.2">
      <c r="A37" s="5" t="s">
        <v>12</v>
      </c>
      <c r="B37" s="11">
        <f t="shared" si="0"/>
        <v>5</v>
      </c>
      <c r="C37" s="5">
        <v>8</v>
      </c>
      <c r="D37" s="12">
        <f t="shared" si="1"/>
        <v>0.6</v>
      </c>
      <c r="E37" s="13">
        <v>685.01</v>
      </c>
      <c r="F37" s="21">
        <v>5</v>
      </c>
      <c r="G37" s="12">
        <f t="shared" si="2"/>
        <v>0</v>
      </c>
      <c r="H37" s="24">
        <v>51.322978069999998</v>
      </c>
      <c r="L37" s="2"/>
    </row>
    <row r="38" spans="1:14" x14ac:dyDescent="0.2">
      <c r="A38" s="5" t="s">
        <v>29</v>
      </c>
      <c r="B38" s="11">
        <f t="shared" si="0"/>
        <v>8</v>
      </c>
      <c r="C38" s="5">
        <v>11</v>
      </c>
      <c r="D38" s="12">
        <f t="shared" si="1"/>
        <v>0.375</v>
      </c>
      <c r="E38" s="13">
        <v>715.01</v>
      </c>
      <c r="F38" s="21">
        <v>8</v>
      </c>
      <c r="G38" s="12">
        <f t="shared" si="2"/>
        <v>0</v>
      </c>
      <c r="H38" s="24">
        <v>698.92833899599998</v>
      </c>
      <c r="L38" s="2"/>
    </row>
    <row r="39" spans="1:14" x14ac:dyDescent="0.2">
      <c r="A39" s="5" t="s">
        <v>53</v>
      </c>
      <c r="B39" s="11">
        <f t="shared" si="0"/>
        <v>6</v>
      </c>
      <c r="C39" s="5">
        <v>10</v>
      </c>
      <c r="D39" s="12">
        <f t="shared" si="1"/>
        <v>0.66666666666666663</v>
      </c>
      <c r="E39" s="13">
        <v>729.01</v>
      </c>
      <c r="F39" s="21">
        <v>6</v>
      </c>
      <c r="G39" s="12">
        <f t="shared" si="2"/>
        <v>0</v>
      </c>
      <c r="H39" s="24">
        <v>174.52043679799999</v>
      </c>
      <c r="L39" s="2"/>
    </row>
    <row r="40" spans="1:14" x14ac:dyDescent="0.2">
      <c r="A40" s="5" t="s">
        <v>41</v>
      </c>
      <c r="B40" s="11">
        <f t="shared" si="0"/>
        <v>5</v>
      </c>
      <c r="C40" s="5">
        <v>7</v>
      </c>
      <c r="D40" s="12">
        <f t="shared" si="1"/>
        <v>0.4</v>
      </c>
      <c r="E40" s="13">
        <v>758.01</v>
      </c>
      <c r="F40" s="21">
        <v>5</v>
      </c>
      <c r="G40" s="12">
        <f t="shared" si="2"/>
        <v>0</v>
      </c>
      <c r="H40" s="24">
        <v>127.150741098</v>
      </c>
      <c r="L40" s="2"/>
    </row>
    <row r="41" spans="1:14" x14ac:dyDescent="0.2">
      <c r="A41" s="5" t="s">
        <v>47</v>
      </c>
      <c r="B41" s="11">
        <f t="shared" si="0"/>
        <v>4</v>
      </c>
      <c r="C41" s="5">
        <v>9</v>
      </c>
      <c r="D41" s="12">
        <f t="shared" si="1"/>
        <v>1.25</v>
      </c>
      <c r="E41" s="13">
        <v>778.01</v>
      </c>
      <c r="F41" s="21">
        <v>4</v>
      </c>
      <c r="G41" s="12">
        <f t="shared" si="2"/>
        <v>0</v>
      </c>
      <c r="H41" s="24">
        <v>142.284091722</v>
      </c>
      <c r="L41" s="2"/>
    </row>
    <row r="42" spans="1:14" x14ac:dyDescent="0.2">
      <c r="A42" s="5" t="s">
        <v>21</v>
      </c>
      <c r="B42" s="11">
        <f t="shared" si="0"/>
        <v>6</v>
      </c>
      <c r="C42" s="5">
        <v>9</v>
      </c>
      <c r="D42" s="12">
        <f t="shared" si="1"/>
        <v>0.5</v>
      </c>
      <c r="E42" s="13">
        <v>817</v>
      </c>
      <c r="F42" s="21">
        <v>6</v>
      </c>
      <c r="G42" s="12">
        <f t="shared" si="2"/>
        <v>0</v>
      </c>
      <c r="H42" s="24">
        <v>399.648275162</v>
      </c>
      <c r="L42" s="2"/>
    </row>
    <row r="43" spans="1:14" x14ac:dyDescent="0.2">
      <c r="A43" s="5" t="s">
        <v>42</v>
      </c>
      <c r="B43" s="11">
        <f t="shared" si="0"/>
        <v>5</v>
      </c>
      <c r="C43" s="5">
        <v>9</v>
      </c>
      <c r="D43" s="12">
        <f t="shared" si="1"/>
        <v>0.8</v>
      </c>
      <c r="E43" s="13">
        <v>878</v>
      </c>
      <c r="F43" s="21">
        <v>5</v>
      </c>
      <c r="G43" s="12">
        <f t="shared" si="2"/>
        <v>0</v>
      </c>
      <c r="H43" s="24">
        <v>192.829797805</v>
      </c>
      <c r="L43" s="2"/>
    </row>
    <row r="44" spans="1:14" x14ac:dyDescent="0.2">
      <c r="A44" s="5" t="s">
        <v>44</v>
      </c>
      <c r="B44" s="11">
        <f t="shared" si="0"/>
        <v>2</v>
      </c>
      <c r="C44" s="5">
        <v>9</v>
      </c>
      <c r="D44" s="12">
        <f t="shared" si="1"/>
        <v>3.5</v>
      </c>
      <c r="E44" s="13">
        <v>900.01</v>
      </c>
      <c r="F44" s="21">
        <v>2</v>
      </c>
      <c r="G44" s="12">
        <f t="shared" si="2"/>
        <v>0</v>
      </c>
      <c r="H44" s="24">
        <v>45.412847651</v>
      </c>
      <c r="L44" s="2"/>
    </row>
    <row r="45" spans="1:14" x14ac:dyDescent="0.2">
      <c r="A45" s="5" t="s">
        <v>43</v>
      </c>
      <c r="B45" s="11">
        <f t="shared" si="0"/>
        <v>6</v>
      </c>
      <c r="C45" s="5">
        <v>9</v>
      </c>
      <c r="D45" s="12">
        <f t="shared" si="1"/>
        <v>0.5</v>
      </c>
      <c r="E45" s="13">
        <v>918.01</v>
      </c>
      <c r="F45" s="21">
        <v>6</v>
      </c>
      <c r="G45" s="12">
        <f t="shared" si="2"/>
        <v>0</v>
      </c>
      <c r="H45" s="24">
        <v>431.27755520599999</v>
      </c>
      <c r="L45" s="2"/>
    </row>
    <row r="46" spans="1:14" x14ac:dyDescent="0.2">
      <c r="A46" s="5" t="s">
        <v>49</v>
      </c>
      <c r="B46" s="11">
        <f t="shared" si="0"/>
        <v>4</v>
      </c>
      <c r="C46" s="5">
        <v>6</v>
      </c>
      <c r="D46" s="12">
        <f t="shared" si="1"/>
        <v>0.5</v>
      </c>
      <c r="E46" s="13">
        <v>957.01</v>
      </c>
      <c r="F46" s="21">
        <v>4</v>
      </c>
      <c r="G46" s="12">
        <f t="shared" si="2"/>
        <v>0</v>
      </c>
      <c r="H46" s="24">
        <v>106.141455291</v>
      </c>
      <c r="L46" s="2"/>
    </row>
    <row r="47" spans="1:14" ht="16" thickBot="1" x14ac:dyDescent="0.25">
      <c r="A47" s="14" t="s">
        <v>50</v>
      </c>
      <c r="B47" s="15">
        <f t="shared" si="0"/>
        <v>7</v>
      </c>
      <c r="C47" s="14">
        <v>14</v>
      </c>
      <c r="D47" s="16">
        <f t="shared" si="1"/>
        <v>1</v>
      </c>
      <c r="E47" s="17">
        <v>960.01</v>
      </c>
      <c r="F47" s="22">
        <v>7</v>
      </c>
      <c r="G47" s="16">
        <f t="shared" si="2"/>
        <v>0</v>
      </c>
      <c r="H47" s="25">
        <v>1032.947226561</v>
      </c>
      <c r="L47" s="2"/>
    </row>
    <row r="48" spans="1:14" x14ac:dyDescent="0.2">
      <c r="B48" s="18">
        <f t="shared" ref="B48:H48" si="3">AVERAGE(B3:B47)</f>
        <v>4.8444444444444441</v>
      </c>
      <c r="C48" s="18">
        <f t="shared" si="3"/>
        <v>7.1111111111111107</v>
      </c>
      <c r="D48" s="19">
        <f t="shared" si="3"/>
        <v>0.51767195767195773</v>
      </c>
      <c r="E48" s="18">
        <f t="shared" si="3"/>
        <v>439.63022222222213</v>
      </c>
      <c r="F48" s="18">
        <f t="shared" si="3"/>
        <v>4.8444444444444441</v>
      </c>
      <c r="G48">
        <f t="shared" si="3"/>
        <v>0</v>
      </c>
      <c r="H48" s="18">
        <f t="shared" si="3"/>
        <v>102.00839500224446</v>
      </c>
      <c r="N48" s="2"/>
    </row>
    <row r="49" spans="4:7" x14ac:dyDescent="0.2">
      <c r="D49" s="9">
        <f>COUNTIF(D3:D47,0)</f>
        <v>5</v>
      </c>
      <c r="G49" s="9">
        <f>COUNTIF(G3:G47,0)</f>
        <v>45</v>
      </c>
    </row>
  </sheetData>
  <sortState xmlns:xlrd2="http://schemas.microsoft.com/office/spreadsheetml/2017/richdata2" ref="L3:N47">
    <sortCondition ref="L3:L47" customList="bcsstk01,can___62,nos4,bcspwr03,bcsstk04,bcsstk22,can__144,bcsstk05,can__161,dwt__198,dwt__209,dwt__221,can__229,dwt__234,nos1,dwt__245,lshp_265,bcspwr04,ash292,can__292,dwt__307,dwt__310,dwt__361,plat362,bcsstk07,bcspwr05,can__445,bcsstk20,494_bus,dwt__503,lshp_577,dwt__607,662_bus,nos6,685_bus,can__715,nos7,dwt__758,lshp_778,bcsstk19,dwt__878,gr_30_30,dwt__918,nos2,nos3"/>
  </sortState>
  <mergeCells count="2"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Raw Results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Sergio Cavero Díaz</cp:lastModifiedBy>
  <dcterms:created xsi:type="dcterms:W3CDTF">2022-01-10T10:45:23Z</dcterms:created>
  <dcterms:modified xsi:type="dcterms:W3CDTF">2026-01-02T15:17:47Z</dcterms:modified>
</cp:coreProperties>
</file>